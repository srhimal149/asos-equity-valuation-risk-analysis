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underlandac-my.sharepoint.com/personal/bi99pv_student_sunderland_ac_uk/Documents/"/>
    </mc:Choice>
  </mc:AlternateContent>
  <xr:revisionPtr revIDLastSave="25" documentId="13_ncr:1_{629F3888-03B7-4EB2-9A2F-807CEBDE565F}" xr6:coauthVersionLast="47" xr6:coauthVersionMax="47" xr10:uidLastSave="{0B3ECDBE-384C-47A4-B944-59A715914CCB}"/>
  <bookViews>
    <workbookView xWindow="-110" yWindow="-110" windowWidth="19420" windowHeight="10300" firstSheet="4" activeTab="8" xr2:uid="{00000000-000D-0000-FFFF-FFFF00000000}"/>
  </bookViews>
  <sheets>
    <sheet name="Stock Financials" sheetId="1" r:id="rId1"/>
    <sheet name="Cash Flow Statement" sheetId="2" r:id="rId2"/>
    <sheet name="Balance Sheet" sheetId="3" r:id="rId3"/>
    <sheet name="Income Statement" sheetId="4" r:id="rId4"/>
    <sheet name="Playground" sheetId="8" r:id="rId5"/>
    <sheet name="FM" sheetId="9" r:id="rId6"/>
    <sheet name="Price" sheetId="10" r:id="rId7"/>
    <sheet name="Risk_Options" sheetId="11" r:id="rId8"/>
    <sheet name="Real_Options" sheetId="12" r:id="rId9"/>
    <sheet name="Portfolio_Optimization" sheetId="13" r:id="rId10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9" l="1"/>
  <c r="D3" i="9"/>
  <c r="C3" i="9"/>
  <c r="B3" i="9"/>
  <c r="A8" i="2" a="1"/>
  <c r="A8" i="2" s="1"/>
  <c r="A9" i="4" a="1"/>
  <c r="A9" i="4" s="1"/>
  <c r="A9" i="3" a="1"/>
  <c r="A9" i="3" s="1"/>
  <c r="A4" i="1" a="1"/>
  <c r="A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Happiness Robert</author>
    <author>Chimuanya Robert (Staff)</author>
  </authors>
  <commentList>
    <comment ref="A6" authorId="0" shapeId="0" xr:uid="{24B5F8D2-8F9C-40C6-AC35-2C316F07C1F0}">
      <text>
        <r>
          <rPr>
            <b/>
            <sz val="9"/>
            <color indexed="81"/>
            <rFont val="Tahoma"/>
            <charset val="1"/>
          </rPr>
          <t>Happiness Robert:</t>
        </r>
        <r>
          <rPr>
            <sz val="9"/>
            <color indexed="81"/>
            <rFont val="Tahoma"/>
            <charset val="1"/>
          </rPr>
          <t xml:space="preserve">
An assumption
</t>
        </r>
      </text>
    </comment>
    <comment ref="A11" authorId="1" shapeId="0" xr:uid="{D35EE722-3C27-4905-BC06-02BFEDD25643}">
      <text>
        <r>
          <rPr>
            <b/>
            <sz val="9"/>
            <color indexed="81"/>
            <rFont val="Tahoma"/>
            <charset val="1"/>
          </rPr>
          <t>Chimuanya Robert (Staff):</t>
        </r>
        <r>
          <rPr>
            <sz val="9"/>
            <color indexed="81"/>
            <rFont val="Tahoma"/>
            <charset val="1"/>
          </rPr>
          <t xml:space="preserve">
Same as Enterprise Value </t>
        </r>
      </text>
    </comment>
    <comment ref="A12" authorId="1" shapeId="0" xr:uid="{7E05DAB0-A400-4244-8909-1073D34A23DE}">
      <text>
        <r>
          <rPr>
            <b/>
            <sz val="9"/>
            <color indexed="81"/>
            <rFont val="Tahoma"/>
            <charset val="1"/>
          </rPr>
          <t>Chimuanya Robert (Staff):</t>
        </r>
        <r>
          <rPr>
            <sz val="9"/>
            <color indexed="81"/>
            <rFont val="Tahoma"/>
            <charset val="1"/>
          </rPr>
          <t xml:space="preserve">
(TotalDCF + CashEquivalent) - TotalDebt</t>
        </r>
      </text>
    </comment>
    <comment ref="A13" authorId="1" shapeId="0" xr:uid="{645D8C4C-9696-4D58-8A24-0ACEF01807EC}">
      <text>
        <r>
          <rPr>
            <b/>
            <sz val="9"/>
            <color indexed="81"/>
            <rFont val="Tahoma"/>
            <charset val="1"/>
          </rPr>
          <t>Chimuanya Robert (Staff):</t>
        </r>
        <r>
          <rPr>
            <sz val="9"/>
            <color indexed="81"/>
            <rFont val="Tahoma"/>
            <charset val="1"/>
          </rPr>
          <t xml:space="preserve">
EquityValue / SharesOutstanding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<sst xmlns="http://schemas.openxmlformats.org/spreadsheetml/2006/main" count="536" uniqueCount="473">
  <si>
    <t>Stock</t>
  </si>
  <si>
    <t>Market Cap</t>
  </si>
  <si>
    <t>Shares Outstanding</t>
  </si>
  <si>
    <t>P/E Ratio</t>
  </si>
  <si>
    <t>EPS</t>
  </si>
  <si>
    <t>Total Revenue</t>
  </si>
  <si>
    <t>Gross Profit</t>
  </si>
  <si>
    <t>Operating Margin</t>
  </si>
  <si>
    <t>Revenue Growth</t>
  </si>
  <si>
    <t>Earnings Growth</t>
  </si>
  <si>
    <t>Profit Margin</t>
  </si>
  <si>
    <t>EBITDA</t>
  </si>
  <si>
    <t>Dividend Yield</t>
  </si>
  <si>
    <t>Dividend Rate</t>
  </si>
  <si>
    <t>Payout Ratio</t>
  </si>
  <si>
    <t>Current Ratio</t>
  </si>
  <si>
    <t>Quick Ratio</t>
  </si>
  <si>
    <t>Debt to Equity</t>
  </si>
  <si>
    <t>Beta</t>
  </si>
  <si>
    <t>52W High</t>
  </si>
  <si>
    <t>52W Low</t>
  </si>
  <si>
    <t>Last Price</t>
  </si>
  <si>
    <t>Open Price</t>
  </si>
  <si>
    <t>Day High</t>
  </si>
  <si>
    <t>Day Low</t>
  </si>
  <si>
    <t>Enterprise Value</t>
  </si>
  <si>
    <t>EV/EBITDA Ratio</t>
  </si>
  <si>
    <t>ROE</t>
  </si>
  <si>
    <t>ROA</t>
  </si>
  <si>
    <t>Operating Cash Flow</t>
  </si>
  <si>
    <t>Free Cash Flow</t>
  </si>
  <si>
    <t>50-Day MA</t>
  </si>
  <si>
    <t>200-Day MA</t>
  </si>
  <si>
    <t>Sector</t>
  </si>
  <si>
    <t>Industry</t>
  </si>
  <si>
    <t>Country</t>
  </si>
  <si>
    <t>Currency</t>
  </si>
  <si>
    <t>ASC.L</t>
  </si>
  <si>
    <t>Consumer Cyclical</t>
  </si>
  <si>
    <t>Internet Retail</t>
  </si>
  <si>
    <t>United Kingdom</t>
  </si>
  <si>
    <t>GBp</t>
  </si>
  <si>
    <t>Repayment Of Debt</t>
  </si>
  <si>
    <t>Issuance Of Debt</t>
  </si>
  <si>
    <t>Issuance Of Capital Stock</t>
  </si>
  <si>
    <t>Capital Expenditure</t>
  </si>
  <si>
    <t>End Cash Position</t>
  </si>
  <si>
    <t>Beginning Cash Position</t>
  </si>
  <si>
    <t>Effect Of Exchange Rate Changes</t>
  </si>
  <si>
    <t>Changes In Cash</t>
  </si>
  <si>
    <t>Financing Cash Flow</t>
  </si>
  <si>
    <t>Net Other Financing Charges</t>
  </si>
  <si>
    <t>Interest Paid Cff</t>
  </si>
  <si>
    <t>Net Common Stock Issuance</t>
  </si>
  <si>
    <t>Common Stock Issuance</t>
  </si>
  <si>
    <t>Net Issuance Payments Of Debt</t>
  </si>
  <si>
    <t>Net Short Term Debt Issuance</t>
  </si>
  <si>
    <t>Short Term Debt Issuance</t>
  </si>
  <si>
    <t>Net Long Term Debt Issuance</t>
  </si>
  <si>
    <t>Long Term Debt Payments</t>
  </si>
  <si>
    <t>Long Term Debt Issuance</t>
  </si>
  <si>
    <t>Investing Cash Flow</t>
  </si>
  <si>
    <t>Net Other Investing Changes</t>
  </si>
  <si>
    <t>Interest Received Cfi</t>
  </si>
  <si>
    <t>Dividends Received Cfi</t>
  </si>
  <si>
    <t>Net Business Purchase And Sale</t>
  </si>
  <si>
    <t>Purchase Of Business</t>
  </si>
  <si>
    <t>Net Intangibles Purchase And Sale</t>
  </si>
  <si>
    <t>Purchase Of Intangibles</t>
  </si>
  <si>
    <t>Net PPE Purchase And Sale</t>
  </si>
  <si>
    <t>Purchase Of PPE</t>
  </si>
  <si>
    <t>Taxes Refund Paid</t>
  </si>
  <si>
    <t>Change In Working Capital</t>
  </si>
  <si>
    <t>Change In Payable</t>
  </si>
  <si>
    <t>Change In Inventory</t>
  </si>
  <si>
    <t>Change In Receivables</t>
  </si>
  <si>
    <t>Other Non Cash Items</t>
  </si>
  <si>
    <t>Stock Based Compensation</t>
  </si>
  <si>
    <t>Depreciation And Amortization</t>
  </si>
  <si>
    <t>Amortization Cash Flow</t>
  </si>
  <si>
    <t>Depreciation</t>
  </si>
  <si>
    <t>Net Income From Continuing Operations</t>
  </si>
  <si>
    <t>2024-08-31</t>
  </si>
  <si>
    <t>2023-08-31</t>
  </si>
  <si>
    <t>2022-08-31</t>
  </si>
  <si>
    <t>2021-08-31</t>
  </si>
  <si>
    <t>2020-08-31</t>
  </si>
  <si>
    <t>Treasury Shares Number</t>
  </si>
  <si>
    <t>Ordinary Shares Number</t>
  </si>
  <si>
    <t>Share Issued</t>
  </si>
  <si>
    <t>Net Debt</t>
  </si>
  <si>
    <t>Total Debt</t>
  </si>
  <si>
    <t>Tangible Book Value</t>
  </si>
  <si>
    <t>Invested Capital</t>
  </si>
  <si>
    <t>Working Capital</t>
  </si>
  <si>
    <t>Net Tangible Assets</t>
  </si>
  <si>
    <t>Capital Lease Obligations</t>
  </si>
  <si>
    <t>Common Stock Equity</t>
  </si>
  <si>
    <t>Total Capitalization</t>
  </si>
  <si>
    <t>Total Equity Gross Minority Interest</t>
  </si>
  <si>
    <t>Stockholders Equity</t>
  </si>
  <si>
    <t>Other Equity Interest</t>
  </si>
  <si>
    <t>Retained Earnings</t>
  </si>
  <si>
    <t>Additional Paid In Capital</t>
  </si>
  <si>
    <t>Capital Stock</t>
  </si>
  <si>
    <t>Common Stock</t>
  </si>
  <si>
    <t>Total Liabilities Net Minority Interest</t>
  </si>
  <si>
    <t>Total Non Current Liabilities Net Minority Interest</t>
  </si>
  <si>
    <t>Derivative Product Liabilities</t>
  </si>
  <si>
    <t>Non Current Deferred Taxes Liabilities</t>
  </si>
  <si>
    <t>Long Term Debt And Capital Lease Obligation</t>
  </si>
  <si>
    <t>Long Term Capital Lease Obligation</t>
  </si>
  <si>
    <t>Long Term Debt</t>
  </si>
  <si>
    <t>Long Term Provisions</t>
  </si>
  <si>
    <t>Current Liabilities</t>
  </si>
  <si>
    <t>Current Debt And Capital Lease Obligation</t>
  </si>
  <si>
    <t>Current Capital Lease Obligation</t>
  </si>
  <si>
    <t>Current Debt</t>
  </si>
  <si>
    <t>Current Provisions</t>
  </si>
  <si>
    <t>Payables</t>
  </si>
  <si>
    <t>Other Payable</t>
  </si>
  <si>
    <t>Total Tax Payable</t>
  </si>
  <si>
    <t>Accounts Payable</t>
  </si>
  <si>
    <t>Total Assets</t>
  </si>
  <si>
    <t>Total Non Current Assets</t>
  </si>
  <si>
    <t>Non Current Deferred Taxes Assets</t>
  </si>
  <si>
    <t>Financial Assets</t>
  </si>
  <si>
    <t>Investment Properties</t>
  </si>
  <si>
    <t>Goodwill And Other Intangible Assets</t>
  </si>
  <si>
    <t>Other Intangible Assets</t>
  </si>
  <si>
    <t>Goodwill</t>
  </si>
  <si>
    <t>Net PPE</t>
  </si>
  <si>
    <t>Accumulated Depreciation</t>
  </si>
  <si>
    <t>Gross PPE</t>
  </si>
  <si>
    <t>Construction In Progress</t>
  </si>
  <si>
    <t>Other Properties</t>
  </si>
  <si>
    <t>Machinery Furniture Equipment</t>
  </si>
  <si>
    <t>Buildings And Improvements</t>
  </si>
  <si>
    <t>Properties</t>
  </si>
  <si>
    <t>Current Assets</t>
  </si>
  <si>
    <t>Hedging Assets Current</t>
  </si>
  <si>
    <t>Assets Held For Sale Current</t>
  </si>
  <si>
    <t>Restricted Cash</t>
  </si>
  <si>
    <t>Prepaid Assets</t>
  </si>
  <si>
    <t>Inventory</t>
  </si>
  <si>
    <t>Finished Goods</t>
  </si>
  <si>
    <t>Other Receivables</t>
  </si>
  <si>
    <t>Taxes Receivable</t>
  </si>
  <si>
    <t>Accounts Receivable</t>
  </si>
  <si>
    <t>Allowance For Doubtful Accounts Receivable</t>
  </si>
  <si>
    <t>Gross Accounts Receivable</t>
  </si>
  <si>
    <t>Cash Cash Equivalents And Short Term Investments</t>
  </si>
  <si>
    <t>Cash And Cash Equivalents</t>
  </si>
  <si>
    <t>Cash Equivalents</t>
  </si>
  <si>
    <t>Cash Financial</t>
  </si>
  <si>
    <t>Tax Effect Of Unusual Items</t>
  </si>
  <si>
    <t>Tax Rate For Calcs</t>
  </si>
  <si>
    <t>Normalized EBITDA</t>
  </si>
  <si>
    <t>Total Unusual Items</t>
  </si>
  <si>
    <t>Total Unusual Items Excluding Goodwill</t>
  </si>
  <si>
    <t>Net Income From Continuing Operation Net Minority Interest</t>
  </si>
  <si>
    <t>Reconciled Depreciation</t>
  </si>
  <si>
    <t>Reconciled Cost Of Revenue</t>
  </si>
  <si>
    <t>EBIT</t>
  </si>
  <si>
    <t>Net Interest Income</t>
  </si>
  <si>
    <t>Interest Expense</t>
  </si>
  <si>
    <t>Interest Income</t>
  </si>
  <si>
    <t>Normalized Income</t>
  </si>
  <si>
    <t>Net Income From Continuing And Discontinued Operation</t>
  </si>
  <si>
    <t>Total Expenses</t>
  </si>
  <si>
    <t>Rent Expense Supplemental</t>
  </si>
  <si>
    <t>Total Operating Income As Reported</t>
  </si>
  <si>
    <t>Diluted Average Shares</t>
  </si>
  <si>
    <t>Basic Average Shares</t>
  </si>
  <si>
    <t>Diluted EPS</t>
  </si>
  <si>
    <t>Basic EPS</t>
  </si>
  <si>
    <t>Diluted NI Availto Com Stockholders</t>
  </si>
  <si>
    <t>Average Dilution Earnings</t>
  </si>
  <si>
    <t>Net Income Common Stockholders</t>
  </si>
  <si>
    <t>Otherunder Preferred Stock Dividend</t>
  </si>
  <si>
    <t>Net Income</t>
  </si>
  <si>
    <t>Minority Interests</t>
  </si>
  <si>
    <t>Net Income Including Noncontrolling Interests</t>
  </si>
  <si>
    <t>Net Income Continuous Operations</t>
  </si>
  <si>
    <t>Tax Provision</t>
  </si>
  <si>
    <t>Pretax Income</t>
  </si>
  <si>
    <t>Special Income Charges</t>
  </si>
  <si>
    <t>Other Special Charges</t>
  </si>
  <si>
    <t>Impairment Of Capital Assets</t>
  </si>
  <si>
    <t>Restructuring And Mergern Acquisition</t>
  </si>
  <si>
    <t>Net Non Operating Interest Income Expense</t>
  </si>
  <si>
    <t>Interest Expense Non Operating</t>
  </si>
  <si>
    <t>Interest Income Non Operating</t>
  </si>
  <si>
    <t>Operating Income</t>
  </si>
  <si>
    <t>Operating Expense</t>
  </si>
  <si>
    <t>Depreciation And Amortization In Income Statement</t>
  </si>
  <si>
    <t>Amortization</t>
  </si>
  <si>
    <t>Depreciation Income Statement</t>
  </si>
  <si>
    <t>Selling General And Administration</t>
  </si>
  <si>
    <t>Selling And Marketing Expense</t>
  </si>
  <si>
    <t>General And Administrative Expense</t>
  </si>
  <si>
    <t>Cost Of Revenue</t>
  </si>
  <si>
    <t>Operating Revenue</t>
  </si>
  <si>
    <t>Years</t>
  </si>
  <si>
    <t>Cash</t>
  </si>
  <si>
    <t>Historical Data</t>
  </si>
  <si>
    <t>Discounted FCF</t>
  </si>
  <si>
    <t>Terminal Value1</t>
  </si>
  <si>
    <t>CAPM</t>
  </si>
  <si>
    <t>WACC</t>
  </si>
  <si>
    <t>TotalDCF</t>
  </si>
  <si>
    <t>EquityValue</t>
  </si>
  <si>
    <t xml:space="preserve">ImpliedSharePrice </t>
  </si>
  <si>
    <t>Cost of Debt</t>
  </si>
  <si>
    <t>Forecasted Data</t>
  </si>
  <si>
    <t>Market Value</t>
  </si>
  <si>
    <t>CAPM_Scenario</t>
  </si>
  <si>
    <t>WACC Scenario</t>
  </si>
  <si>
    <t>DCF_Scenario</t>
  </si>
  <si>
    <t>Scenario</t>
  </si>
  <si>
    <t>Bear</t>
  </si>
  <si>
    <t>Base</t>
  </si>
  <si>
    <t>Bull</t>
  </si>
  <si>
    <t>Low Beta</t>
  </si>
  <si>
    <t>Base Beta</t>
  </si>
  <si>
    <t>High Beta</t>
  </si>
  <si>
    <t>Market Return</t>
  </si>
  <si>
    <t>Summary</t>
  </si>
  <si>
    <t>Range:</t>
  </si>
  <si>
    <t>Risk Level:</t>
  </si>
  <si>
    <t>High</t>
  </si>
  <si>
    <t>Low Tax</t>
  </si>
  <si>
    <t>Base Tax</t>
  </si>
  <si>
    <t>High Tax</t>
  </si>
  <si>
    <t>Better Credit</t>
  </si>
  <si>
    <t>Worse Credit</t>
  </si>
  <si>
    <t>Medium</t>
  </si>
  <si>
    <t>EV/EBITDA Scenarios</t>
  </si>
  <si>
    <t>Bear Market</t>
  </si>
  <si>
    <t>Current Market</t>
  </si>
  <si>
    <t>Bull Market</t>
  </si>
  <si>
    <t>Weak EBITDA</t>
  </si>
  <si>
    <t>Base EBITDA</t>
  </si>
  <si>
    <t>Strong EBITDA</t>
  </si>
  <si>
    <t>-227.6x</t>
  </si>
  <si>
    <t>-182.1x</t>
  </si>
  <si>
    <t>-145.7x</t>
  </si>
  <si>
    <t>-323.0x</t>
  </si>
  <si>
    <t>-258.4x</t>
  </si>
  <si>
    <t>-206.7x</t>
  </si>
  <si>
    <t>-450.2x</t>
  </si>
  <si>
    <t>-360.1x</t>
  </si>
  <si>
    <t>-288.1x</t>
  </si>
  <si>
    <t>WACC Scenario Grid</t>
  </si>
  <si>
    <t>Low Market Risk</t>
  </si>
  <si>
    <t>Base Case</t>
  </si>
  <si>
    <t>High Market Risk</t>
  </si>
  <si>
    <t>Improved Credit</t>
  </si>
  <si>
    <t>Base Credit</t>
  </si>
  <si>
    <t>Date</t>
  </si>
  <si>
    <t>FTSE100</t>
  </si>
  <si>
    <t>806.7999877929688</t>
  </si>
  <si>
    <t>783.4000244140625</t>
  </si>
  <si>
    <t>754.5999755859375</t>
  </si>
  <si>
    <t>759.5999755859375</t>
  </si>
  <si>
    <t>726.2000122070312</t>
  </si>
  <si>
    <t>702.4000244140625</t>
  </si>
  <si>
    <t>701.4000244140625</t>
  </si>
  <si>
    <t>741.5999755859375</t>
  </si>
  <si>
    <t>716.4000244140625</t>
  </si>
  <si>
    <t>757.7999877929688</t>
  </si>
  <si>
    <t>784.4000244140625</t>
  </si>
  <si>
    <t>749.2000122070312</t>
  </si>
  <si>
    <t>731.7999877929688</t>
  </si>
  <si>
    <t>720.5999755859375</t>
  </si>
  <si>
    <t>736.7999877929688</t>
  </si>
  <si>
    <t>735.2000122070312</t>
  </si>
  <si>
    <t>737.4000244140625</t>
  </si>
  <si>
    <t>684.2000122070312</t>
  </si>
  <si>
    <t>696.7999877929688</t>
  </si>
  <si>
    <t>635.7999877929688</t>
  </si>
  <si>
    <t>487.3999938964844</t>
  </si>
  <si>
    <t>398.8999938964844</t>
  </si>
  <si>
    <t>446.1000061035156</t>
  </si>
  <si>
    <t>454.79998779296875</t>
  </si>
  <si>
    <t>418.1000061035156</t>
  </si>
  <si>
    <t>343.29998779296875</t>
  </si>
  <si>
    <t>350.3999938964844</t>
  </si>
  <si>
    <t>375.20001220703125</t>
  </si>
  <si>
    <t>343.1000061035156</t>
  </si>
  <si>
    <t>325.1000061035156</t>
  </si>
  <si>
    <t>329.29998779296875</t>
  </si>
  <si>
    <t>376.3999938964844</t>
  </si>
  <si>
    <t>370.3999938964844</t>
  </si>
  <si>
    <t>411.20001220703125</t>
  </si>
  <si>
    <t>400.8999938964844</t>
  </si>
  <si>
    <t>408.70001220703125</t>
  </si>
  <si>
    <t>390.3999938964844</t>
  </si>
  <si>
    <t>392.79998779296875</t>
  </si>
  <si>
    <t>407.6000061035156</t>
  </si>
  <si>
    <t>416.70001220703125</t>
  </si>
  <si>
    <t>382.70001220703125</t>
  </si>
  <si>
    <t>375.8999938964844</t>
  </si>
  <si>
    <t>355.1000061035156</t>
  </si>
  <si>
    <t>328.8999938964844</t>
  </si>
  <si>
    <t>336.20001220703125</t>
  </si>
  <si>
    <t>340.8999938964844</t>
  </si>
  <si>
    <t>340.6000061035156</t>
  </si>
  <si>
    <t>366.70001220703125</t>
  </si>
  <si>
    <t>349.70001220703125</t>
  </si>
  <si>
    <t>351.8999938964844</t>
  </si>
  <si>
    <t>377.70001220703125</t>
  </si>
  <si>
    <t>385.8999938964844</t>
  </si>
  <si>
    <t>383.3999938964844</t>
  </si>
  <si>
    <t>407.3999938964844</t>
  </si>
  <si>
    <t>420.6000061035156</t>
  </si>
  <si>
    <t>422.1000061035156</t>
  </si>
  <si>
    <t>423.70001220703125</t>
  </si>
  <si>
    <t>431.6000061035156</t>
  </si>
  <si>
    <t>426.1000061035156</t>
  </si>
  <si>
    <t>398.70001220703125</t>
  </si>
  <si>
    <t>388.20001220703125</t>
  </si>
  <si>
    <t>392.29998779296875</t>
  </si>
  <si>
    <t>373.6000061035156</t>
  </si>
  <si>
    <t>378.20001220703125</t>
  </si>
  <si>
    <t>388.70001220703125</t>
  </si>
  <si>
    <t>407.70001220703125</t>
  </si>
  <si>
    <t>404.6000061035156</t>
  </si>
  <si>
    <t>438.3999938964844</t>
  </si>
  <si>
    <t>449.79998779296875</t>
  </si>
  <si>
    <t>440.6000061035156</t>
  </si>
  <si>
    <t>423.8999938964844</t>
  </si>
  <si>
    <t>401.3999938964844</t>
  </si>
  <si>
    <t>403.8999938964844</t>
  </si>
  <si>
    <t>390.79998779296875</t>
  </si>
  <si>
    <t>400.29998779296875</t>
  </si>
  <si>
    <t>400.70001220703125</t>
  </si>
  <si>
    <t>403.6000061035156</t>
  </si>
  <si>
    <t>381.8999938964844</t>
  </si>
  <si>
    <t>400.79998779296875</t>
  </si>
  <si>
    <t>386.79998779296875</t>
  </si>
  <si>
    <t>387.1000061035156</t>
  </si>
  <si>
    <t>389.79998779296875</t>
  </si>
  <si>
    <t>382.8999938964844</t>
  </si>
  <si>
    <t>378.3999938964844</t>
  </si>
  <si>
    <t>374.29998779296875</t>
  </si>
  <si>
    <t>378.70001220703125</t>
  </si>
  <si>
    <t>388.3999938964844</t>
  </si>
  <si>
    <t>381.20001220703125</t>
  </si>
  <si>
    <t>387.8999938964844</t>
  </si>
  <si>
    <t>390.1000061035156</t>
  </si>
  <si>
    <t>386.8999938964844</t>
  </si>
  <si>
    <t>395.29998779296875</t>
  </si>
  <si>
    <t>390.20001220703125</t>
  </si>
  <si>
    <t>401.29998779296875</t>
  </si>
  <si>
    <t>392.70001220703125</t>
  </si>
  <si>
    <t>394.6000061035156</t>
  </si>
  <si>
    <t>391.70001220703125</t>
  </si>
  <si>
    <t>385.6000061035156</t>
  </si>
  <si>
    <t>388.1000061035156</t>
  </si>
  <si>
    <t>395.3999938964844</t>
  </si>
  <si>
    <t>362.79998779296875</t>
  </si>
  <si>
    <t>389.70001220703125</t>
  </si>
  <si>
    <t>397.8999938964844</t>
  </si>
  <si>
    <t>391.79998779296875</t>
  </si>
  <si>
    <t>391.6000061035156</t>
  </si>
  <si>
    <t>389.29998779296875</t>
  </si>
  <si>
    <t>382.6000061035156</t>
  </si>
  <si>
    <t>395.6000061035156</t>
  </si>
  <si>
    <t>382.20001220703125</t>
  </si>
  <si>
    <t>389.1000061035156</t>
  </si>
  <si>
    <t>387.6000061035156</t>
  </si>
  <si>
    <t>387.29998779296875</t>
  </si>
  <si>
    <t>389.3999938964844</t>
  </si>
  <si>
    <t>382.1000061035156</t>
  </si>
  <si>
    <t>388.8999938964844</t>
  </si>
  <si>
    <t>385.20001220703125</t>
  </si>
  <si>
    <t>397.1000061035156</t>
  </si>
  <si>
    <t>393.20001220703125</t>
  </si>
  <si>
    <t>400.20001220703125</t>
  </si>
  <si>
    <t>401.1000061035156</t>
  </si>
  <si>
    <t>429.20001220703125</t>
  </si>
  <si>
    <t>425.3999938964844</t>
  </si>
  <si>
    <t>425.6000061035156</t>
  </si>
  <si>
    <t>426.29998779296875</t>
  </si>
  <si>
    <t>425.70001220703125</t>
  </si>
  <si>
    <t>392.8999938964844</t>
  </si>
  <si>
    <t>381.29998779296875</t>
  </si>
  <si>
    <t>382.3999938964844</t>
  </si>
  <si>
    <t>367.6000061035156</t>
  </si>
  <si>
    <t>365.79998779296875</t>
  </si>
  <si>
    <t>373.20001220703125</t>
  </si>
  <si>
    <t>375.79998779296875</t>
  </si>
  <si>
    <t>380.3999938964844</t>
  </si>
  <si>
    <t>376.1000061035156</t>
  </si>
  <si>
    <t>380.79998779296875</t>
  </si>
  <si>
    <t>361.1000061035156</t>
  </si>
  <si>
    <t>372.70001220703125</t>
  </si>
  <si>
    <t>366.6000061035156</t>
  </si>
  <si>
    <t>366.8999938964844</t>
  </si>
  <si>
    <t>372.3999938964844</t>
  </si>
  <si>
    <t>393.79998779296875</t>
  </si>
  <si>
    <t>399.8999938964844</t>
  </si>
  <si>
    <t>399.79998779296875</t>
  </si>
  <si>
    <t>377.6000061035156</t>
  </si>
  <si>
    <t>369.79998779296875</t>
  </si>
  <si>
    <t>368.1000061035156</t>
  </si>
  <si>
    <t>367.29998779296875</t>
  </si>
  <si>
    <t>364.79998779296875</t>
  </si>
  <si>
    <t>371.8999938964844</t>
  </si>
  <si>
    <t>368.20001220703125</t>
  </si>
  <si>
    <t>360.3999938964844</t>
  </si>
  <si>
    <t>354.79998779296875</t>
  </si>
  <si>
    <t>349.79998779296875</t>
  </si>
  <si>
    <t>351.6000061035156</t>
  </si>
  <si>
    <t>352.6000061035156</t>
  </si>
  <si>
    <t>343.70001220703125</t>
  </si>
  <si>
    <t>343.3999938964844</t>
  </si>
  <si>
    <t>337.8999938964844</t>
  </si>
  <si>
    <t>341.70001220703125</t>
  </si>
  <si>
    <t>346.20001220703125</t>
  </si>
  <si>
    <t>375.1000061035156</t>
  </si>
  <si>
    <t>356.6000061035156</t>
  </si>
  <si>
    <t>354.20001220703125</t>
  </si>
  <si>
    <t>358.6000061035156</t>
  </si>
  <si>
    <t>343.20001220703125</t>
  </si>
  <si>
    <t>333.3999938964844</t>
  </si>
  <si>
    <t>349.6000061035156</t>
  </si>
  <si>
    <t>358.3999938964844</t>
  </si>
  <si>
    <t>356.79998779296875</t>
  </si>
  <si>
    <t>358.20001220703125</t>
  </si>
  <si>
    <t>347.6000061035156</t>
  </si>
  <si>
    <t>334.3999938964844</t>
  </si>
  <si>
    <t>341.20001220703125</t>
  </si>
  <si>
    <t>355.6000061035156</t>
  </si>
  <si>
    <t>351.20001220703125</t>
  </si>
  <si>
    <t>351.79998779296875</t>
  </si>
  <si>
    <t>370.20001220703125</t>
  </si>
  <si>
    <t>368.3999938964844</t>
  </si>
  <si>
    <t>367.20001220703125</t>
  </si>
  <si>
    <t>367.3999938964844</t>
  </si>
  <si>
    <t>374.6000061035156</t>
  </si>
  <si>
    <t>FTSE_Return</t>
  </si>
  <si>
    <t>ASC_LogReturn</t>
  </si>
  <si>
    <t>ASC_Return</t>
  </si>
  <si>
    <t>Real Options Valuation (Black-Scholes)</t>
  </si>
  <si>
    <t>Inputs Used:</t>
  </si>
  <si>
    <t>Option</t>
  </si>
  <si>
    <t>Value (£M)</t>
  </si>
  <si>
    <t>Option to Expand</t>
  </si>
  <si>
    <t>Option to Delay</t>
  </si>
  <si>
    <t>Option to Abandon</t>
  </si>
  <si>
    <t>Project Value (S)</t>
  </si>
  <si>
    <t>Investment/Salvage Value (K)</t>
  </si>
  <si>
    <t>Risk-Free Rate (r)</t>
  </si>
  <si>
    <t>Volatility (Daily)</t>
  </si>
  <si>
    <t>Volatility (Weekly)</t>
  </si>
  <si>
    <t>Volatility (Monthly)</t>
  </si>
  <si>
    <t>Sharpe Ratio (Daily)</t>
  </si>
  <si>
    <t>Sharpe Ratio (Weekly)</t>
  </si>
  <si>
    <t>Sharpe Ratio (Monthly)</t>
  </si>
  <si>
    <t>Max Drawdown</t>
  </si>
  <si>
    <t>Time to Expand/Abandon (T)</t>
  </si>
  <si>
    <t>Time to Delay Decision (Td)</t>
  </si>
  <si>
    <t>Volatility (s) [Annualised]</t>
  </si>
  <si>
    <t>Minimum Variance Portfolio</t>
  </si>
  <si>
    <t>Asset</t>
  </si>
  <si>
    <t>Weight</t>
  </si>
  <si>
    <t>Max Sharpe Ratio Portfolio</t>
  </si>
  <si>
    <t>Risk-Free Rate (Annual)</t>
  </si>
  <si>
    <t>Risk-Free Rate (Daily)</t>
  </si>
  <si>
    <t>Mean ASC</t>
  </si>
  <si>
    <t>Mean FTSE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</si>
</sst>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£&quot;#,##0.00;[Red]\-&quot;£&quot;#,##0.00"/>
  </numFmts>
  <fonts count="8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1" applyNumberFormat="1" applyFont="1"/>
    <xf numFmtId="8" fontId="0" fillId="0" borderId="0" xfId="0" applyNumberFormat="1"/>
    <xf numFmtId="10" fontId="0" fillId="0" borderId="0" xfId="0" applyNumberFormat="1"/>
    <xf numFmtId="14" fontId="0" fillId="0" borderId="0" xfId="0" applyNumberFormat="1"/>
    <xf numFmtId="0" fontId="0" fillId="0" borderId="0" xfId="0" quotePrefix="1"/>
    <xf numFmtId="0" fontId="6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40"/>
  <sheetViews>
    <sheetView topLeftCell="A31" workbookViewId="0">
      <selection activeCell="B12" sqref="B12"/>
    </sheetView>
  </sheetViews>
  <sheetFormatPr defaultRowHeight="14.5"/>
  <cols>
    <col min="1" max="1" width="23.36328125" customWidth="1"/>
    <col min="3" max="3" width="18.453125" bestFit="1" customWidth="1"/>
    <col min="22" max="22" width="9.36328125" bestFit="1" customWidth="1"/>
  </cols>
  <sheetData>
    <row r="1" spans="1:3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</row>
    <row r="2" spans="1:37">
      <c r="A2" t="s">
        <v>37</v>
      </c>
      <c r="B2">
        <v>371857216</v>
      </c>
      <c r="C2">
        <v>119185000</v>
      </c>
      <c r="E2">
        <v>-2.4700000000000002</v>
      </c>
      <c r="F2">
        <v>2699399936</v>
      </c>
      <c r="G2">
        <v>1146800000</v>
      </c>
      <c r="H2">
        <v>-0.16169001</v>
      </c>
      <c r="I2">
        <v>-0.13700000000000001</v>
      </c>
      <c r="K2">
        <v>-0.10902000000000001</v>
      </c>
      <c r="L2">
        <v>-257300000</v>
      </c>
      <c r="O2">
        <v>0</v>
      </c>
      <c r="P2">
        <v>1.18</v>
      </c>
      <c r="Q2">
        <v>0.48299999999999998</v>
      </c>
      <c r="R2">
        <v>228.11699999999999</v>
      </c>
      <c r="S2">
        <v>2.226</v>
      </c>
      <c r="T2">
        <v>456.2</v>
      </c>
      <c r="U2">
        <v>223.2</v>
      </c>
      <c r="V2">
        <v>315</v>
      </c>
      <c r="W2">
        <v>301.5</v>
      </c>
      <c r="X2">
        <v>321</v>
      </c>
      <c r="Y2">
        <v>301.5</v>
      </c>
      <c r="Z2">
        <v>886638912</v>
      </c>
      <c r="AA2">
        <v>-3.4460000000000002</v>
      </c>
      <c r="AB2">
        <v>-0.62590003000000005</v>
      </c>
      <c r="AC2">
        <v>-9.1189999999999993E-2</v>
      </c>
      <c r="AD2">
        <v>117800000</v>
      </c>
      <c r="AE2">
        <v>106675000</v>
      </c>
      <c r="AF2">
        <v>291.99200000000002</v>
      </c>
      <c r="AG2">
        <v>361.75900000000001</v>
      </c>
      <c r="AH2" t="s">
        <v>38</v>
      </c>
      <c r="AI2" t="s">
        <v>39</v>
      </c>
      <c r="AJ2" t="s">
        <v>40</v>
      </c>
      <c r="AK2" t="s">
        <v>41</v>
      </c>
    </row>
    <row r="4" spans="1:37">
      <c r="A4" t="str" cm="1">
        <f t="array" ref="A4:B40">TRANSPOSE(A1:AK2)</f>
        <v>Stock</v>
      </c>
      <c r="B4" t="str">
        <v>ASC.L</v>
      </c>
    </row>
    <row r="5" spans="1:37">
      <c r="A5" t="str">
        <v>Market Cap</v>
      </c>
      <c r="B5">
        <v>371857216</v>
      </c>
    </row>
    <row r="6" spans="1:37">
      <c r="A6" t="str">
        <v>Shares Outstanding</v>
      </c>
      <c r="B6">
        <v>119185000</v>
      </c>
    </row>
    <row r="7" spans="1:37">
      <c r="A7" t="str">
        <v>P/E Ratio</v>
      </c>
      <c r="B7">
        <v>0</v>
      </c>
    </row>
    <row r="8" spans="1:37">
      <c r="A8" t="str">
        <v>EPS</v>
      </c>
      <c r="B8">
        <v>-2.4700000000000002</v>
      </c>
    </row>
    <row r="9" spans="1:37">
      <c r="A9" t="str">
        <v>Total Revenue</v>
      </c>
      <c r="B9">
        <v>2699399936</v>
      </c>
    </row>
    <row r="10" spans="1:37">
      <c r="A10" t="str">
        <v>Gross Profit</v>
      </c>
      <c r="B10">
        <v>1146800000</v>
      </c>
    </row>
    <row r="11" spans="1:37">
      <c r="A11" t="str">
        <v>Operating Margin</v>
      </c>
      <c r="B11">
        <v>-0.16169001</v>
      </c>
    </row>
    <row r="12" spans="1:37">
      <c r="A12" t="str">
        <v>Revenue Growth</v>
      </c>
      <c r="B12">
        <v>-0.13700000000000001</v>
      </c>
    </row>
    <row r="13" spans="1:37">
      <c r="A13" t="str">
        <v>Earnings Growth</v>
      </c>
      <c r="B13">
        <v>0</v>
      </c>
    </row>
    <row r="14" spans="1:37">
      <c r="A14" t="str">
        <v>Profit Margin</v>
      </c>
      <c r="B14">
        <v>-0.10902000000000001</v>
      </c>
    </row>
    <row r="15" spans="1:37">
      <c r="A15" t="str">
        <v>EBITDA</v>
      </c>
      <c r="B15">
        <v>-257300000</v>
      </c>
    </row>
    <row r="16" spans="1:37">
      <c r="A16" t="str">
        <v>Dividend Yield</v>
      </c>
      <c r="B16">
        <v>0</v>
      </c>
    </row>
    <row r="17" spans="1:2">
      <c r="A17" t="str">
        <v>Dividend Rate</v>
      </c>
      <c r="B17">
        <v>0</v>
      </c>
    </row>
    <row r="18" spans="1:2">
      <c r="A18" t="str">
        <v>Payout Ratio</v>
      </c>
      <c r="B18">
        <v>0</v>
      </c>
    </row>
    <row r="19" spans="1:2">
      <c r="A19" t="str">
        <v>Current Ratio</v>
      </c>
      <c r="B19">
        <v>1.18</v>
      </c>
    </row>
    <row r="20" spans="1:2">
      <c r="A20" t="str">
        <v>Quick Ratio</v>
      </c>
      <c r="B20">
        <v>0.48299999999999998</v>
      </c>
    </row>
    <row r="21" spans="1:2">
      <c r="A21" t="str">
        <v>Debt to Equity</v>
      </c>
      <c r="B21">
        <v>228.11699999999999</v>
      </c>
    </row>
    <row r="22" spans="1:2">
      <c r="A22" t="str">
        <v>Beta</v>
      </c>
      <c r="B22">
        <v>2.226</v>
      </c>
    </row>
    <row r="23" spans="1:2">
      <c r="A23" t="str">
        <v>52W High</v>
      </c>
      <c r="B23">
        <v>456.2</v>
      </c>
    </row>
    <row r="24" spans="1:2">
      <c r="A24" t="str">
        <v>52W Low</v>
      </c>
      <c r="B24">
        <v>223.2</v>
      </c>
    </row>
    <row r="25" spans="1:2">
      <c r="A25" t="str">
        <v>Last Price</v>
      </c>
      <c r="B25">
        <v>315</v>
      </c>
    </row>
    <row r="26" spans="1:2">
      <c r="A26" t="str">
        <v>Open Price</v>
      </c>
      <c r="B26">
        <v>301.5</v>
      </c>
    </row>
    <row r="27" spans="1:2">
      <c r="A27" t="str">
        <v>Day High</v>
      </c>
      <c r="B27">
        <v>321</v>
      </c>
    </row>
    <row r="28" spans="1:2">
      <c r="A28" t="str">
        <v>Day Low</v>
      </c>
      <c r="B28">
        <v>301.5</v>
      </c>
    </row>
    <row r="29" spans="1:2">
      <c r="A29" t="str">
        <v>Enterprise Value</v>
      </c>
      <c r="B29">
        <v>886638912</v>
      </c>
    </row>
    <row r="30" spans="1:2">
      <c r="A30" t="str">
        <v>EV/EBITDA Ratio</v>
      </c>
      <c r="B30">
        <v>-3.4460000000000002</v>
      </c>
    </row>
    <row r="31" spans="1:2">
      <c r="A31" t="str">
        <v>ROE</v>
      </c>
      <c r="B31">
        <v>-0.62590003000000005</v>
      </c>
    </row>
    <row r="32" spans="1:2">
      <c r="A32" t="str">
        <v>ROA</v>
      </c>
      <c r="B32">
        <v>-9.1189999999999993E-2</v>
      </c>
    </row>
    <row r="33" spans="1:2">
      <c r="A33" t="str">
        <v>Operating Cash Flow</v>
      </c>
      <c r="B33">
        <v>117800000</v>
      </c>
    </row>
    <row r="34" spans="1:2">
      <c r="A34" t="str">
        <v>Free Cash Flow</v>
      </c>
      <c r="B34">
        <v>106675000</v>
      </c>
    </row>
    <row r="35" spans="1:2">
      <c r="A35" t="str">
        <v>50-Day MA</v>
      </c>
      <c r="B35">
        <v>291.99200000000002</v>
      </c>
    </row>
    <row r="36" spans="1:2">
      <c r="A36" t="str">
        <v>200-Day MA</v>
      </c>
      <c r="B36">
        <v>361.75900000000001</v>
      </c>
    </row>
    <row r="37" spans="1:2">
      <c r="A37" t="str">
        <v>Sector</v>
      </c>
      <c r="B37" t="str">
        <v>Consumer Cyclical</v>
      </c>
    </row>
    <row r="38" spans="1:2">
      <c r="A38" t="str">
        <v>Industry</v>
      </c>
      <c r="B38" t="str">
        <v>Internet Retail</v>
      </c>
    </row>
    <row r="39" spans="1:2">
      <c r="A39" t="str">
        <v>Country</v>
      </c>
      <c r="B39" t="str">
        <v>United Kingdom</v>
      </c>
    </row>
    <row r="40" spans="1:2">
      <c r="A40" t="str">
        <v>Currency</v>
      </c>
      <c r="B40" t="str">
        <v>GBp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Q50"/>
  <sheetViews>
    <sheetView topLeftCell="A28" workbookViewId="0">
      <selection activeCell="K27" sqref="K27"/>
    </sheetView>
  </sheetViews>
  <sheetFormatPr defaultRowHeight="14.5"/>
  <cols>
    <col min="1" max="1" width="24.36328125" customWidth="1"/>
  </cols>
  <sheetData>
    <row r="1" spans="1:43">
      <c r="B1" s="1" t="s">
        <v>30</v>
      </c>
      <c r="C1" s="1" t="s">
        <v>42</v>
      </c>
      <c r="D1" s="1" t="s">
        <v>43</v>
      </c>
      <c r="E1" s="1" t="s">
        <v>44</v>
      </c>
      <c r="F1" s="1" t="s">
        <v>45</v>
      </c>
      <c r="G1" s="1" t="s">
        <v>46</v>
      </c>
      <c r="H1" s="1" t="s">
        <v>47</v>
      </c>
      <c r="I1" s="1" t="s">
        <v>48</v>
      </c>
      <c r="J1" s="1" t="s">
        <v>49</v>
      </c>
      <c r="K1" s="1" t="s">
        <v>50</v>
      </c>
      <c r="L1" s="1" t="s">
        <v>51</v>
      </c>
      <c r="M1" s="1" t="s">
        <v>52</v>
      </c>
      <c r="N1" s="1" t="s">
        <v>53</v>
      </c>
      <c r="O1" s="1" t="s">
        <v>54</v>
      </c>
      <c r="P1" s="1" t="s">
        <v>55</v>
      </c>
      <c r="Q1" s="1" t="s">
        <v>56</v>
      </c>
      <c r="R1" s="1" t="s">
        <v>57</v>
      </c>
      <c r="S1" s="1" t="s">
        <v>58</v>
      </c>
      <c r="T1" s="1" t="s">
        <v>59</v>
      </c>
      <c r="U1" s="1" t="s">
        <v>60</v>
      </c>
      <c r="V1" s="1" t="s">
        <v>61</v>
      </c>
      <c r="W1" s="1" t="s">
        <v>62</v>
      </c>
      <c r="X1" s="1" t="s">
        <v>63</v>
      </c>
      <c r="Y1" s="1" t="s">
        <v>64</v>
      </c>
      <c r="Z1" s="1" t="s">
        <v>65</v>
      </c>
      <c r="AA1" s="1" t="s">
        <v>66</v>
      </c>
      <c r="AB1" s="1" t="s">
        <v>67</v>
      </c>
      <c r="AC1" s="1" t="s">
        <v>68</v>
      </c>
      <c r="AD1" s="1" t="s">
        <v>69</v>
      </c>
      <c r="AE1" s="1" t="s">
        <v>70</v>
      </c>
      <c r="AF1" s="1" t="s">
        <v>29</v>
      </c>
      <c r="AG1" s="1" t="s">
        <v>71</v>
      </c>
      <c r="AH1" s="1" t="s">
        <v>72</v>
      </c>
      <c r="AI1" s="1" t="s">
        <v>73</v>
      </c>
      <c r="AJ1" s="1" t="s">
        <v>74</v>
      </c>
      <c r="AK1" s="1" t="s">
        <v>75</v>
      </c>
      <c r="AL1" s="1" t="s">
        <v>76</v>
      </c>
      <c r="AM1" s="1" t="s">
        <v>77</v>
      </c>
      <c r="AN1" s="1" t="s">
        <v>78</v>
      </c>
      <c r="AO1" s="1" t="s">
        <v>79</v>
      </c>
      <c r="AP1" s="1" t="s">
        <v>80</v>
      </c>
      <c r="AQ1" s="1" t="s">
        <v>81</v>
      </c>
    </row>
    <row r="2" spans="1:43">
      <c r="A2" s="1" t="s">
        <v>82</v>
      </c>
      <c r="B2">
        <v>94500000</v>
      </c>
      <c r="C2">
        <v>-500000</v>
      </c>
      <c r="D2">
        <v>0</v>
      </c>
      <c r="E2">
        <v>0</v>
      </c>
      <c r="F2">
        <v>-133500000</v>
      </c>
      <c r="G2">
        <v>391000000</v>
      </c>
      <c r="H2">
        <v>353300000</v>
      </c>
      <c r="I2">
        <v>500000</v>
      </c>
      <c r="J2">
        <v>37200000</v>
      </c>
      <c r="K2">
        <v>-68600000</v>
      </c>
      <c r="M2">
        <v>-42600000</v>
      </c>
      <c r="N2">
        <v>0</v>
      </c>
      <c r="O2">
        <v>0</v>
      </c>
      <c r="P2">
        <v>-500000</v>
      </c>
      <c r="S2">
        <v>-500000</v>
      </c>
      <c r="T2">
        <v>-500000</v>
      </c>
      <c r="U2">
        <v>0</v>
      </c>
      <c r="V2">
        <v>-122200000</v>
      </c>
      <c r="X2">
        <v>11300000</v>
      </c>
      <c r="AB2">
        <v>-97100000</v>
      </c>
      <c r="AC2">
        <v>-97100000</v>
      </c>
      <c r="AD2">
        <v>-36400000</v>
      </c>
      <c r="AE2">
        <v>-36400000</v>
      </c>
      <c r="AF2">
        <v>228000000</v>
      </c>
      <c r="AG2">
        <v>10300000</v>
      </c>
      <c r="AH2">
        <v>254800000</v>
      </c>
      <c r="AI2">
        <v>-18200000</v>
      </c>
      <c r="AJ2">
        <v>247700000</v>
      </c>
      <c r="AK2">
        <v>22900000</v>
      </c>
      <c r="AL2">
        <v>-800000</v>
      </c>
      <c r="AM2">
        <v>3400000</v>
      </c>
      <c r="AN2">
        <v>172300000</v>
      </c>
      <c r="AO2">
        <v>117300000</v>
      </c>
      <c r="AP2">
        <v>55000000</v>
      </c>
      <c r="AQ2">
        <v>-331900000</v>
      </c>
    </row>
    <row r="3" spans="1:43">
      <c r="A3" s="1" t="s">
        <v>83</v>
      </c>
      <c r="B3">
        <v>-161500000</v>
      </c>
      <c r="C3">
        <v>-251700000</v>
      </c>
      <c r="D3">
        <v>450000000</v>
      </c>
      <c r="E3">
        <v>77600000</v>
      </c>
      <c r="F3">
        <v>-177900000</v>
      </c>
      <c r="G3">
        <v>353300000</v>
      </c>
      <c r="H3">
        <v>323000000</v>
      </c>
      <c r="I3">
        <v>-1800000</v>
      </c>
      <c r="J3">
        <v>32100000</v>
      </c>
      <c r="K3">
        <v>189100000</v>
      </c>
      <c r="M3">
        <v>-33600000</v>
      </c>
      <c r="N3">
        <v>77600000</v>
      </c>
      <c r="O3">
        <v>77600000</v>
      </c>
      <c r="P3">
        <v>198300000</v>
      </c>
      <c r="Q3">
        <v>250000000</v>
      </c>
      <c r="R3">
        <v>250000000</v>
      </c>
      <c r="S3">
        <v>198300000</v>
      </c>
      <c r="T3">
        <v>-251700000</v>
      </c>
      <c r="U3">
        <v>450000000</v>
      </c>
      <c r="V3">
        <v>-173400000</v>
      </c>
      <c r="X3">
        <v>4500000</v>
      </c>
      <c r="AB3">
        <v>-136200000</v>
      </c>
      <c r="AC3">
        <v>-136200000</v>
      </c>
      <c r="AD3">
        <v>-41700000</v>
      </c>
      <c r="AE3">
        <v>-41700000</v>
      </c>
      <c r="AF3">
        <v>16400000</v>
      </c>
      <c r="AG3">
        <v>18300000</v>
      </c>
      <c r="AH3">
        <v>35000000</v>
      </c>
      <c r="AI3">
        <v>-304900000</v>
      </c>
      <c r="AJ3">
        <v>310400000</v>
      </c>
      <c r="AK3">
        <v>12700000</v>
      </c>
      <c r="AL3">
        <v>1800000</v>
      </c>
      <c r="AM3">
        <v>5200000</v>
      </c>
      <c r="AN3">
        <v>172500000</v>
      </c>
      <c r="AO3">
        <v>104700000</v>
      </c>
      <c r="AP3">
        <v>67800000</v>
      </c>
      <c r="AQ3">
        <v>-248500000</v>
      </c>
    </row>
    <row r="4" spans="1:43">
      <c r="A4" s="1" t="s">
        <v>84</v>
      </c>
      <c r="B4">
        <v>-303300000</v>
      </c>
      <c r="C4">
        <v>0</v>
      </c>
      <c r="D4">
        <v>0</v>
      </c>
      <c r="E4">
        <v>0</v>
      </c>
      <c r="F4">
        <v>-182900000</v>
      </c>
      <c r="G4">
        <v>323000000</v>
      </c>
      <c r="H4">
        <v>662700000</v>
      </c>
      <c r="I4">
        <v>100000</v>
      </c>
      <c r="J4">
        <v>-339800000</v>
      </c>
      <c r="K4">
        <v>-37400000</v>
      </c>
      <c r="M4">
        <v>-11100000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-182000000</v>
      </c>
      <c r="X4">
        <v>900000</v>
      </c>
      <c r="Y4">
        <v>0</v>
      </c>
      <c r="Z4">
        <v>0</v>
      </c>
      <c r="AA4">
        <v>0</v>
      </c>
      <c r="AB4">
        <v>-109200000</v>
      </c>
      <c r="AC4">
        <v>-109200000</v>
      </c>
      <c r="AD4">
        <v>-73700000</v>
      </c>
      <c r="AE4">
        <v>-73700000</v>
      </c>
      <c r="AF4">
        <v>-120400000</v>
      </c>
      <c r="AG4">
        <v>3400000</v>
      </c>
      <c r="AH4">
        <v>-272700000</v>
      </c>
      <c r="AI4">
        <v>21500000</v>
      </c>
      <c r="AJ4">
        <v>-258700000</v>
      </c>
      <c r="AK4">
        <v>-34200000</v>
      </c>
      <c r="AL4">
        <v>-4900000</v>
      </c>
      <c r="AM4">
        <v>600000</v>
      </c>
      <c r="AN4">
        <v>149800000</v>
      </c>
      <c r="AO4">
        <v>88800000</v>
      </c>
      <c r="AP4">
        <v>61000000</v>
      </c>
      <c r="AQ4">
        <v>-9800000</v>
      </c>
    </row>
    <row r="5" spans="1:43">
      <c r="A5" s="1" t="s">
        <v>85</v>
      </c>
      <c r="B5">
        <v>58000000</v>
      </c>
      <c r="D5">
        <v>512900000</v>
      </c>
      <c r="E5">
        <v>0</v>
      </c>
      <c r="F5">
        <v>-157100000</v>
      </c>
      <c r="G5">
        <v>662700000</v>
      </c>
      <c r="H5">
        <v>407500000</v>
      </c>
      <c r="I5">
        <v>-100000</v>
      </c>
      <c r="J5">
        <v>255300000</v>
      </c>
      <c r="K5">
        <v>483400000</v>
      </c>
      <c r="L5">
        <v>100000</v>
      </c>
      <c r="M5">
        <v>-5700000</v>
      </c>
      <c r="N5">
        <v>0</v>
      </c>
      <c r="O5">
        <v>0</v>
      </c>
      <c r="P5">
        <v>512900000</v>
      </c>
      <c r="S5">
        <v>512900000</v>
      </c>
      <c r="U5">
        <v>512900000</v>
      </c>
      <c r="V5">
        <v>-443200000</v>
      </c>
      <c r="W5">
        <v>-286400000</v>
      </c>
      <c r="X5">
        <v>200000</v>
      </c>
      <c r="Y5">
        <v>100000</v>
      </c>
      <c r="Z5">
        <v>-286400000</v>
      </c>
      <c r="AA5">
        <v>-286400000</v>
      </c>
      <c r="AB5">
        <v>-102000000</v>
      </c>
      <c r="AC5">
        <v>-102000000</v>
      </c>
      <c r="AD5">
        <v>-55100000</v>
      </c>
      <c r="AE5">
        <v>-55100000</v>
      </c>
      <c r="AF5">
        <v>215100000</v>
      </c>
      <c r="AG5">
        <v>-37000000</v>
      </c>
      <c r="AH5">
        <v>-74200000</v>
      </c>
      <c r="AI5">
        <v>150600000</v>
      </c>
      <c r="AJ5">
        <v>-226700000</v>
      </c>
      <c r="AK5">
        <v>1900000</v>
      </c>
      <c r="AL5">
        <v>-7000000</v>
      </c>
      <c r="AM5">
        <v>7600000</v>
      </c>
      <c r="AN5">
        <v>135500000</v>
      </c>
      <c r="AO5">
        <v>74400000</v>
      </c>
      <c r="AP5">
        <v>61100000</v>
      </c>
      <c r="AQ5">
        <v>190100000</v>
      </c>
    </row>
    <row r="6" spans="1:43">
      <c r="A6" s="1" t="s">
        <v>86</v>
      </c>
      <c r="C6">
        <v>-75000000</v>
      </c>
      <c r="L6">
        <v>700000</v>
      </c>
      <c r="Q6">
        <v>-75000000</v>
      </c>
      <c r="T6">
        <v>-75000000</v>
      </c>
      <c r="Y6">
        <v>0</v>
      </c>
      <c r="Z6">
        <v>0</v>
      </c>
      <c r="AA6">
        <v>0</v>
      </c>
    </row>
    <row r="8" spans="1:43">
      <c r="A8" cm="1">
        <f t="array" ref="A8:F50">TRANSPOSE(A1:AQ6)</f>
        <v>0</v>
      </c>
      <c r="B8" t="str">
        <v>2024-08-31</v>
      </c>
      <c r="C8" t="str">
        <v>2023-08-31</v>
      </c>
      <c r="D8" t="str">
        <v>2022-08-31</v>
      </c>
      <c r="E8" t="str">
        <v>2021-08-31</v>
      </c>
      <c r="F8" t="str">
        <v>2020-08-31</v>
      </c>
    </row>
    <row r="9" spans="1:43">
      <c r="A9" t="str">
        <v>Free Cash Flow</v>
      </c>
      <c r="B9">
        <v>94500000</v>
      </c>
      <c r="C9">
        <v>-161500000</v>
      </c>
      <c r="D9">
        <v>-303300000</v>
      </c>
      <c r="E9">
        <v>58000000</v>
      </c>
      <c r="F9">
        <v>0</v>
      </c>
    </row>
    <row r="10" spans="1:43">
      <c r="A10" t="str">
        <v>Repayment Of Debt</v>
      </c>
      <c r="B10">
        <v>-500000</v>
      </c>
      <c r="C10">
        <v>-251700000</v>
      </c>
      <c r="D10">
        <v>0</v>
      </c>
      <c r="E10">
        <v>0</v>
      </c>
      <c r="F10">
        <v>-75000000</v>
      </c>
    </row>
    <row r="11" spans="1:43">
      <c r="A11" t="str">
        <v>Issuance Of Debt</v>
      </c>
      <c r="B11">
        <v>0</v>
      </c>
      <c r="C11">
        <v>450000000</v>
      </c>
      <c r="D11">
        <v>0</v>
      </c>
      <c r="E11">
        <v>512900000</v>
      </c>
      <c r="F11">
        <v>0</v>
      </c>
    </row>
    <row r="12" spans="1:43">
      <c r="A12" t="str">
        <v>Issuance Of Capital Stock</v>
      </c>
      <c r="B12">
        <v>0</v>
      </c>
      <c r="C12">
        <v>77600000</v>
      </c>
      <c r="D12">
        <v>0</v>
      </c>
      <c r="E12">
        <v>0</v>
      </c>
      <c r="F12">
        <v>0</v>
      </c>
    </row>
    <row r="13" spans="1:43">
      <c r="A13" t="str">
        <v>Capital Expenditure</v>
      </c>
      <c r="B13">
        <v>-133500000</v>
      </c>
      <c r="C13">
        <v>-177900000</v>
      </c>
      <c r="D13">
        <v>-182900000</v>
      </c>
      <c r="E13">
        <v>-157100000</v>
      </c>
      <c r="F13">
        <v>0</v>
      </c>
    </row>
    <row r="14" spans="1:43">
      <c r="A14" t="str">
        <v>End Cash Position</v>
      </c>
      <c r="B14">
        <v>391000000</v>
      </c>
      <c r="C14">
        <v>353300000</v>
      </c>
      <c r="D14">
        <v>323000000</v>
      </c>
      <c r="E14">
        <v>662700000</v>
      </c>
      <c r="F14">
        <v>0</v>
      </c>
    </row>
    <row r="15" spans="1:43">
      <c r="A15" t="str">
        <v>Beginning Cash Position</v>
      </c>
      <c r="B15">
        <v>353300000</v>
      </c>
      <c r="C15">
        <v>323000000</v>
      </c>
      <c r="D15">
        <v>662700000</v>
      </c>
      <c r="E15">
        <v>407500000</v>
      </c>
      <c r="F15">
        <v>0</v>
      </c>
    </row>
    <row r="16" spans="1:43">
      <c r="A16" t="str">
        <v>Effect Of Exchange Rate Changes</v>
      </c>
      <c r="B16">
        <v>500000</v>
      </c>
      <c r="C16">
        <v>-1800000</v>
      </c>
      <c r="D16">
        <v>100000</v>
      </c>
      <c r="E16">
        <v>-100000</v>
      </c>
      <c r="F16">
        <v>0</v>
      </c>
    </row>
    <row r="17" spans="1:6">
      <c r="A17" t="str">
        <v>Changes In Cash</v>
      </c>
      <c r="B17">
        <v>37200000</v>
      </c>
      <c r="C17">
        <v>32100000</v>
      </c>
      <c r="D17">
        <v>-339800000</v>
      </c>
      <c r="E17">
        <v>255300000</v>
      </c>
      <c r="F17">
        <v>0</v>
      </c>
    </row>
    <row r="18" spans="1:6">
      <c r="A18" t="str">
        <v>Financing Cash Flow</v>
      </c>
      <c r="B18">
        <v>-68600000</v>
      </c>
      <c r="C18">
        <v>189100000</v>
      </c>
      <c r="D18">
        <v>-37400000</v>
      </c>
      <c r="E18">
        <v>483400000</v>
      </c>
      <c r="F18">
        <v>0</v>
      </c>
    </row>
    <row r="19" spans="1:6">
      <c r="A19" t="str">
        <v>Net Other Financing Charges</v>
      </c>
      <c r="B19">
        <v>0</v>
      </c>
      <c r="C19">
        <v>0</v>
      </c>
      <c r="D19">
        <v>0</v>
      </c>
      <c r="E19">
        <v>100000</v>
      </c>
      <c r="F19">
        <v>700000</v>
      </c>
    </row>
    <row r="20" spans="1:6">
      <c r="A20" t="str">
        <v>Interest Paid Cff</v>
      </c>
      <c r="B20">
        <v>-42600000</v>
      </c>
      <c r="C20">
        <v>-33600000</v>
      </c>
      <c r="D20">
        <v>-11100000</v>
      </c>
      <c r="E20">
        <v>-5700000</v>
      </c>
      <c r="F20">
        <v>0</v>
      </c>
    </row>
    <row r="21" spans="1:6">
      <c r="A21" t="str">
        <v>Net Common Stock Issuance</v>
      </c>
      <c r="B21">
        <v>0</v>
      </c>
      <c r="C21">
        <v>77600000</v>
      </c>
      <c r="D21">
        <v>0</v>
      </c>
      <c r="E21">
        <v>0</v>
      </c>
      <c r="F21">
        <v>0</v>
      </c>
    </row>
    <row r="22" spans="1:6">
      <c r="A22" t="str">
        <v>Common Stock Issuance</v>
      </c>
      <c r="B22">
        <v>0</v>
      </c>
      <c r="C22">
        <v>77600000</v>
      </c>
      <c r="D22">
        <v>0</v>
      </c>
      <c r="E22">
        <v>0</v>
      </c>
      <c r="F22">
        <v>0</v>
      </c>
    </row>
    <row r="23" spans="1:6">
      <c r="A23" t="str">
        <v>Net Issuance Payments Of Debt</v>
      </c>
      <c r="B23">
        <v>-500000</v>
      </c>
      <c r="C23">
        <v>198300000</v>
      </c>
      <c r="D23">
        <v>0</v>
      </c>
      <c r="E23">
        <v>512900000</v>
      </c>
      <c r="F23">
        <v>0</v>
      </c>
    </row>
    <row r="24" spans="1:6">
      <c r="A24" t="str">
        <v>Net Short Term Debt Issuance</v>
      </c>
      <c r="B24">
        <v>0</v>
      </c>
      <c r="C24">
        <v>250000000</v>
      </c>
      <c r="D24">
        <v>0</v>
      </c>
      <c r="E24">
        <v>0</v>
      </c>
      <c r="F24">
        <v>-75000000</v>
      </c>
    </row>
    <row r="25" spans="1:6">
      <c r="A25" t="str">
        <v>Short Term Debt Issuance</v>
      </c>
      <c r="B25">
        <v>0</v>
      </c>
      <c r="C25">
        <v>250000000</v>
      </c>
      <c r="D25">
        <v>0</v>
      </c>
      <c r="E25">
        <v>0</v>
      </c>
      <c r="F25">
        <v>0</v>
      </c>
    </row>
    <row r="26" spans="1:6">
      <c r="A26" t="str">
        <v>Net Long Term Debt Issuance</v>
      </c>
      <c r="B26">
        <v>-500000</v>
      </c>
      <c r="C26">
        <v>198300000</v>
      </c>
      <c r="D26">
        <v>0</v>
      </c>
      <c r="E26">
        <v>512900000</v>
      </c>
      <c r="F26">
        <v>0</v>
      </c>
    </row>
    <row r="27" spans="1:6">
      <c r="A27" t="str">
        <v>Long Term Debt Payments</v>
      </c>
      <c r="B27">
        <v>-500000</v>
      </c>
      <c r="C27">
        <v>-251700000</v>
      </c>
      <c r="D27">
        <v>0</v>
      </c>
      <c r="E27">
        <v>0</v>
      </c>
      <c r="F27">
        <v>-75000000</v>
      </c>
    </row>
    <row r="28" spans="1:6">
      <c r="A28" t="str">
        <v>Long Term Debt Issuance</v>
      </c>
      <c r="B28">
        <v>0</v>
      </c>
      <c r="C28">
        <v>450000000</v>
      </c>
      <c r="D28">
        <v>0</v>
      </c>
      <c r="E28">
        <v>512900000</v>
      </c>
      <c r="F28">
        <v>0</v>
      </c>
    </row>
    <row r="29" spans="1:6">
      <c r="A29" t="str">
        <v>Investing Cash Flow</v>
      </c>
      <c r="B29">
        <v>-122200000</v>
      </c>
      <c r="C29">
        <v>-173400000</v>
      </c>
      <c r="D29">
        <v>-182000000</v>
      </c>
      <c r="E29">
        <v>-443200000</v>
      </c>
      <c r="F29">
        <v>0</v>
      </c>
    </row>
    <row r="30" spans="1:6">
      <c r="A30" t="str">
        <v>Net Other Investing Changes</v>
      </c>
      <c r="B30">
        <v>0</v>
      </c>
      <c r="C30">
        <v>0</v>
      </c>
      <c r="D30">
        <v>0</v>
      </c>
      <c r="E30">
        <v>-286400000</v>
      </c>
      <c r="F30">
        <v>0</v>
      </c>
    </row>
    <row r="31" spans="1:6">
      <c r="A31" t="str">
        <v>Interest Received Cfi</v>
      </c>
      <c r="B31">
        <v>11300000</v>
      </c>
      <c r="C31">
        <v>4500000</v>
      </c>
      <c r="D31">
        <v>900000</v>
      </c>
      <c r="E31">
        <v>200000</v>
      </c>
      <c r="F31">
        <v>0</v>
      </c>
    </row>
    <row r="32" spans="1:6">
      <c r="A32" t="str">
        <v>Dividends Received Cfi</v>
      </c>
      <c r="B32">
        <v>0</v>
      </c>
      <c r="C32">
        <v>0</v>
      </c>
      <c r="D32">
        <v>0</v>
      </c>
      <c r="E32">
        <v>100000</v>
      </c>
      <c r="F32">
        <v>0</v>
      </c>
    </row>
    <row r="33" spans="1:6">
      <c r="A33" t="str">
        <v>Net Business Purchase And Sale</v>
      </c>
      <c r="B33">
        <v>0</v>
      </c>
      <c r="C33">
        <v>0</v>
      </c>
      <c r="D33">
        <v>0</v>
      </c>
      <c r="E33">
        <v>-286400000</v>
      </c>
      <c r="F33">
        <v>0</v>
      </c>
    </row>
    <row r="34" spans="1:6">
      <c r="A34" t="str">
        <v>Purchase Of Business</v>
      </c>
      <c r="B34">
        <v>0</v>
      </c>
      <c r="C34">
        <v>0</v>
      </c>
      <c r="D34">
        <v>0</v>
      </c>
      <c r="E34">
        <v>-286400000</v>
      </c>
      <c r="F34">
        <v>0</v>
      </c>
    </row>
    <row r="35" spans="1:6">
      <c r="A35" t="str">
        <v>Net Intangibles Purchase And Sale</v>
      </c>
      <c r="B35">
        <v>-97100000</v>
      </c>
      <c r="C35">
        <v>-136200000</v>
      </c>
      <c r="D35">
        <v>-109200000</v>
      </c>
      <c r="E35">
        <v>-102000000</v>
      </c>
      <c r="F35">
        <v>0</v>
      </c>
    </row>
    <row r="36" spans="1:6">
      <c r="A36" t="str">
        <v>Purchase Of Intangibles</v>
      </c>
      <c r="B36">
        <v>-97100000</v>
      </c>
      <c r="C36">
        <v>-136200000</v>
      </c>
      <c r="D36">
        <v>-109200000</v>
      </c>
      <c r="E36">
        <v>-102000000</v>
      </c>
      <c r="F36">
        <v>0</v>
      </c>
    </row>
    <row r="37" spans="1:6">
      <c r="A37" t="str">
        <v>Net PPE Purchase And Sale</v>
      </c>
      <c r="B37">
        <v>-36400000</v>
      </c>
      <c r="C37">
        <v>-41700000</v>
      </c>
      <c r="D37">
        <v>-73700000</v>
      </c>
      <c r="E37">
        <v>-55100000</v>
      </c>
      <c r="F37">
        <v>0</v>
      </c>
    </row>
    <row r="38" spans="1:6">
      <c r="A38" t="str">
        <v>Purchase Of PPE</v>
      </c>
      <c r="B38">
        <v>-36400000</v>
      </c>
      <c r="C38">
        <v>-41700000</v>
      </c>
      <c r="D38">
        <v>-73700000</v>
      </c>
      <c r="E38">
        <v>-55100000</v>
      </c>
      <c r="F38">
        <v>0</v>
      </c>
    </row>
    <row r="39" spans="1:6">
      <c r="A39" t="str">
        <v>Operating Cash Flow</v>
      </c>
      <c r="B39">
        <v>228000000</v>
      </c>
      <c r="C39">
        <v>16400000</v>
      </c>
      <c r="D39">
        <v>-120400000</v>
      </c>
      <c r="E39">
        <v>215100000</v>
      </c>
      <c r="F39">
        <v>0</v>
      </c>
    </row>
    <row r="40" spans="1:6">
      <c r="A40" t="str">
        <v>Taxes Refund Paid</v>
      </c>
      <c r="B40">
        <v>10300000</v>
      </c>
      <c r="C40">
        <v>18300000</v>
      </c>
      <c r="D40">
        <v>3400000</v>
      </c>
      <c r="E40">
        <v>-37000000</v>
      </c>
      <c r="F40">
        <v>0</v>
      </c>
    </row>
    <row r="41" spans="1:6">
      <c r="A41" t="str">
        <v>Change In Working Capital</v>
      </c>
      <c r="B41">
        <v>254800000</v>
      </c>
      <c r="C41">
        <v>35000000</v>
      </c>
      <c r="D41">
        <v>-272700000</v>
      </c>
      <c r="E41">
        <v>-74200000</v>
      </c>
      <c r="F41">
        <v>0</v>
      </c>
    </row>
    <row r="42" spans="1:6">
      <c r="A42" t="str">
        <v>Change In Payable</v>
      </c>
      <c r="B42">
        <v>-18200000</v>
      </c>
      <c r="C42">
        <v>-304900000</v>
      </c>
      <c r="D42">
        <v>21500000</v>
      </c>
      <c r="E42">
        <v>150600000</v>
      </c>
      <c r="F42">
        <v>0</v>
      </c>
    </row>
    <row r="43" spans="1:6">
      <c r="A43" t="str">
        <v>Change In Inventory</v>
      </c>
      <c r="B43">
        <v>247700000</v>
      </c>
      <c r="C43">
        <v>310400000</v>
      </c>
      <c r="D43">
        <v>-258700000</v>
      </c>
      <c r="E43">
        <v>-226700000</v>
      </c>
      <c r="F43">
        <v>0</v>
      </c>
    </row>
    <row r="44" spans="1:6">
      <c r="A44" t="str">
        <v>Change In Receivables</v>
      </c>
      <c r="B44">
        <v>22900000</v>
      </c>
      <c r="C44">
        <v>12700000</v>
      </c>
      <c r="D44">
        <v>-34200000</v>
      </c>
      <c r="E44">
        <v>1900000</v>
      </c>
      <c r="F44">
        <v>0</v>
      </c>
    </row>
    <row r="45" spans="1:6">
      <c r="A45" t="str">
        <v>Other Non Cash Items</v>
      </c>
      <c r="B45">
        <v>-800000</v>
      </c>
      <c r="C45">
        <v>1800000</v>
      </c>
      <c r="D45">
        <v>-4900000</v>
      </c>
      <c r="E45">
        <v>-7000000</v>
      </c>
      <c r="F45">
        <v>0</v>
      </c>
    </row>
    <row r="46" spans="1:6">
      <c r="A46" t="str">
        <v>Stock Based Compensation</v>
      </c>
      <c r="B46">
        <v>3400000</v>
      </c>
      <c r="C46">
        <v>5200000</v>
      </c>
      <c r="D46">
        <v>600000</v>
      </c>
      <c r="E46">
        <v>7600000</v>
      </c>
      <c r="F46">
        <v>0</v>
      </c>
    </row>
    <row r="47" spans="1:6">
      <c r="A47" t="str">
        <v>Depreciation And Amortization</v>
      </c>
      <c r="B47">
        <v>172300000</v>
      </c>
      <c r="C47">
        <v>172500000</v>
      </c>
      <c r="D47">
        <v>149800000</v>
      </c>
      <c r="E47">
        <v>135500000</v>
      </c>
      <c r="F47">
        <v>0</v>
      </c>
    </row>
    <row r="48" spans="1:6">
      <c r="A48" t="str">
        <v>Amortization Cash Flow</v>
      </c>
      <c r="B48">
        <v>117300000</v>
      </c>
      <c r="C48">
        <v>104700000</v>
      </c>
      <c r="D48">
        <v>88800000</v>
      </c>
      <c r="E48">
        <v>74400000</v>
      </c>
      <c r="F48">
        <v>0</v>
      </c>
    </row>
    <row r="49" spans="1:6">
      <c r="A49" t="str">
        <v>Depreciation</v>
      </c>
      <c r="B49">
        <v>55000000</v>
      </c>
      <c r="C49">
        <v>67800000</v>
      </c>
      <c r="D49">
        <v>61000000</v>
      </c>
      <c r="E49">
        <v>61100000</v>
      </c>
      <c r="F49">
        <v>0</v>
      </c>
    </row>
    <row r="50" spans="1:6">
      <c r="A50" t="str">
        <v>Net Income From Continuing Operations</v>
      </c>
      <c r="B50">
        <v>-331900000</v>
      </c>
      <c r="C50">
        <v>-248500000</v>
      </c>
      <c r="D50">
        <v>-9800000</v>
      </c>
      <c r="E50">
        <v>190100000</v>
      </c>
      <c r="F50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Q77"/>
  <sheetViews>
    <sheetView topLeftCell="A7" workbookViewId="0">
      <selection activeCell="O1" sqref="O1"/>
    </sheetView>
  </sheetViews>
  <sheetFormatPr defaultRowHeight="14.5"/>
  <cols>
    <col min="1" max="1" width="44.1796875" bestFit="1" customWidth="1"/>
    <col min="2" max="2" width="23" bestFit="1" customWidth="1"/>
    <col min="3" max="3" width="23.08984375" bestFit="1" customWidth="1"/>
    <col min="5" max="6" width="11" bestFit="1" customWidth="1"/>
    <col min="12" max="12" width="20.453125" bestFit="1" customWidth="1"/>
    <col min="14" max="14" width="33.08984375" bestFit="1" customWidth="1"/>
    <col min="57" max="57" width="14.6328125" bestFit="1" customWidth="1"/>
    <col min="66" max="66" width="47.36328125" bestFit="1" customWidth="1"/>
    <col min="67" max="67" width="24.90625" bestFit="1" customWidth="1"/>
  </cols>
  <sheetData>
    <row r="1" spans="1:69">
      <c r="B1" s="1" t="s">
        <v>87</v>
      </c>
      <c r="C1" s="1" t="s">
        <v>88</v>
      </c>
      <c r="D1" s="1" t="s">
        <v>89</v>
      </c>
      <c r="E1" s="1" t="s">
        <v>90</v>
      </c>
      <c r="F1" s="1" t="s">
        <v>91</v>
      </c>
      <c r="G1" s="1" t="s">
        <v>92</v>
      </c>
      <c r="H1" s="1" t="s">
        <v>93</v>
      </c>
      <c r="I1" s="1" t="s">
        <v>94</v>
      </c>
      <c r="J1" s="1" t="s">
        <v>95</v>
      </c>
      <c r="K1" s="1" t="s">
        <v>96</v>
      </c>
      <c r="L1" s="1" t="s">
        <v>97</v>
      </c>
      <c r="M1" s="1" t="s">
        <v>98</v>
      </c>
      <c r="N1" s="1" t="s">
        <v>99</v>
      </c>
      <c r="O1" s="1" t="s">
        <v>100</v>
      </c>
      <c r="P1" s="1" t="s">
        <v>101</v>
      </c>
      <c r="Q1" s="1" t="s">
        <v>102</v>
      </c>
      <c r="R1" s="1" t="s">
        <v>103</v>
      </c>
      <c r="S1" s="1" t="s">
        <v>104</v>
      </c>
      <c r="T1" s="1" t="s">
        <v>105</v>
      </c>
      <c r="U1" s="1" t="s">
        <v>106</v>
      </c>
      <c r="V1" s="1" t="s">
        <v>107</v>
      </c>
      <c r="W1" s="1" t="s">
        <v>108</v>
      </c>
      <c r="X1" s="1" t="s">
        <v>109</v>
      </c>
      <c r="Y1" s="1" t="s">
        <v>110</v>
      </c>
      <c r="Z1" s="1" t="s">
        <v>111</v>
      </c>
      <c r="AA1" s="1" t="s">
        <v>112</v>
      </c>
      <c r="AB1" s="1" t="s">
        <v>113</v>
      </c>
      <c r="AC1" s="1" t="s">
        <v>114</v>
      </c>
      <c r="AD1" s="1" t="s">
        <v>115</v>
      </c>
      <c r="AE1" s="1" t="s">
        <v>116</v>
      </c>
      <c r="AF1" s="1" t="s">
        <v>117</v>
      </c>
      <c r="AG1" s="1" t="s">
        <v>118</v>
      </c>
      <c r="AH1" s="1" t="s">
        <v>119</v>
      </c>
      <c r="AI1" s="1" t="s">
        <v>120</v>
      </c>
      <c r="AJ1" s="1" t="s">
        <v>121</v>
      </c>
      <c r="AK1" s="1" t="s">
        <v>122</v>
      </c>
      <c r="AL1" s="1" t="s">
        <v>123</v>
      </c>
      <c r="AM1" s="1" t="s">
        <v>124</v>
      </c>
      <c r="AN1" s="1" t="s">
        <v>125</v>
      </c>
      <c r="AO1" s="1" t="s">
        <v>126</v>
      </c>
      <c r="AP1" s="1" t="s">
        <v>127</v>
      </c>
      <c r="AQ1" s="1" t="s">
        <v>128</v>
      </c>
      <c r="AR1" s="1" t="s">
        <v>129</v>
      </c>
      <c r="AS1" s="1" t="s">
        <v>130</v>
      </c>
      <c r="AT1" s="1" t="s">
        <v>131</v>
      </c>
      <c r="AU1" s="1" t="s">
        <v>132</v>
      </c>
      <c r="AV1" s="1" t="s">
        <v>133</v>
      </c>
      <c r="AW1" s="1" t="s">
        <v>134</v>
      </c>
      <c r="AX1" s="1" t="s">
        <v>135</v>
      </c>
      <c r="AY1" s="1" t="s">
        <v>136</v>
      </c>
      <c r="AZ1" s="1" t="s">
        <v>137</v>
      </c>
      <c r="BA1" s="1" t="s">
        <v>138</v>
      </c>
      <c r="BB1" s="1" t="s">
        <v>139</v>
      </c>
      <c r="BC1" s="1" t="s">
        <v>140</v>
      </c>
      <c r="BD1" s="1" t="s">
        <v>141</v>
      </c>
      <c r="BE1" s="1" t="s">
        <v>142</v>
      </c>
      <c r="BF1" s="1" t="s">
        <v>143</v>
      </c>
      <c r="BG1" s="1" t="s">
        <v>144</v>
      </c>
      <c r="BH1" s="1" t="s">
        <v>145</v>
      </c>
      <c r="BI1" s="1" t="s">
        <v>146</v>
      </c>
      <c r="BJ1" s="1" t="s">
        <v>147</v>
      </c>
      <c r="BK1" s="1" t="s">
        <v>148</v>
      </c>
      <c r="BL1" s="1" t="s">
        <v>149</v>
      </c>
      <c r="BM1" s="1" t="s">
        <v>150</v>
      </c>
      <c r="BN1" s="1" t="s">
        <v>151</v>
      </c>
      <c r="BO1" s="1" t="s">
        <v>152</v>
      </c>
      <c r="BP1" s="1" t="s">
        <v>153</v>
      </c>
      <c r="BQ1" s="1" t="s">
        <v>154</v>
      </c>
    </row>
    <row r="2" spans="1:69">
      <c r="A2" s="1" t="s">
        <v>82</v>
      </c>
      <c r="C2">
        <v>119236850</v>
      </c>
      <c r="D2">
        <v>119236850</v>
      </c>
      <c r="E2">
        <v>305200000</v>
      </c>
      <c r="F2">
        <v>977700000</v>
      </c>
      <c r="G2">
        <v>7300000</v>
      </c>
      <c r="H2">
        <v>1209400000</v>
      </c>
      <c r="I2">
        <v>432400000</v>
      </c>
      <c r="J2">
        <v>7300000</v>
      </c>
      <c r="K2">
        <v>289600000</v>
      </c>
      <c r="L2">
        <v>521300000</v>
      </c>
      <c r="M2">
        <v>1207800000</v>
      </c>
      <c r="N2">
        <v>521300000</v>
      </c>
      <c r="O2">
        <v>521300000</v>
      </c>
      <c r="Q2">
        <v>132600000</v>
      </c>
      <c r="R2">
        <v>322600000</v>
      </c>
      <c r="S2">
        <v>4200000</v>
      </c>
      <c r="T2">
        <v>4200000</v>
      </c>
      <c r="U2">
        <v>1749900000</v>
      </c>
      <c r="V2">
        <v>1035900000</v>
      </c>
      <c r="W2">
        <v>500000</v>
      </c>
      <c r="Y2">
        <v>948900000</v>
      </c>
      <c r="Z2">
        <v>262400000</v>
      </c>
      <c r="AA2">
        <v>686500000</v>
      </c>
      <c r="AB2">
        <v>86500000</v>
      </c>
      <c r="AC2">
        <v>714000000</v>
      </c>
      <c r="AD2">
        <v>28800000</v>
      </c>
      <c r="AE2">
        <v>27200000</v>
      </c>
      <c r="AF2">
        <v>1600000</v>
      </c>
      <c r="AG2">
        <v>101900000</v>
      </c>
      <c r="AH2">
        <v>292800000</v>
      </c>
      <c r="AI2">
        <v>165900000</v>
      </c>
      <c r="AJ2">
        <v>18800000</v>
      </c>
      <c r="AK2">
        <v>108100000</v>
      </c>
      <c r="AL2">
        <v>2271200000</v>
      </c>
      <c r="AM2">
        <v>1124800000</v>
      </c>
      <c r="AN2">
        <v>62500000</v>
      </c>
      <c r="AO2">
        <v>300000</v>
      </c>
      <c r="AP2">
        <v>7100000</v>
      </c>
      <c r="AQ2">
        <v>514000000</v>
      </c>
      <c r="AR2">
        <v>478800000</v>
      </c>
      <c r="AS2">
        <v>35200000</v>
      </c>
      <c r="AT2">
        <v>537200000</v>
      </c>
      <c r="AU2">
        <v>-325100000</v>
      </c>
      <c r="AV2">
        <v>862300000</v>
      </c>
      <c r="AW2">
        <v>150900000</v>
      </c>
      <c r="AX2">
        <v>254000000</v>
      </c>
      <c r="AY2">
        <v>457400000</v>
      </c>
      <c r="BB2">
        <v>1146400000</v>
      </c>
      <c r="BC2">
        <v>9500000</v>
      </c>
      <c r="BD2">
        <v>165500000</v>
      </c>
      <c r="BE2">
        <v>8100000</v>
      </c>
      <c r="BG2">
        <v>520300000</v>
      </c>
      <c r="BH2">
        <v>520300000</v>
      </c>
      <c r="BJ2">
        <v>6700000</v>
      </c>
      <c r="BK2">
        <v>53400000</v>
      </c>
      <c r="BN2">
        <v>382900000</v>
      </c>
      <c r="BO2">
        <v>382900000</v>
      </c>
      <c r="BP2">
        <v>299800000</v>
      </c>
      <c r="BQ2">
        <v>83100000</v>
      </c>
    </row>
    <row r="3" spans="1:69">
      <c r="A3" s="1" t="s">
        <v>83</v>
      </c>
      <c r="B3">
        <v>0</v>
      </c>
      <c r="C3">
        <v>119236850</v>
      </c>
      <c r="D3">
        <v>119236850</v>
      </c>
      <c r="E3">
        <v>319500000</v>
      </c>
      <c r="F3">
        <v>1001800000</v>
      </c>
      <c r="G3">
        <v>166200000</v>
      </c>
      <c r="H3">
        <v>1539500000</v>
      </c>
      <c r="I3">
        <v>519300000</v>
      </c>
      <c r="J3">
        <v>166200000</v>
      </c>
      <c r="K3">
        <v>329000000</v>
      </c>
      <c r="L3">
        <v>866700000</v>
      </c>
      <c r="M3">
        <v>1538000000</v>
      </c>
      <c r="N3">
        <v>866700000</v>
      </c>
      <c r="O3">
        <v>866700000</v>
      </c>
      <c r="P3">
        <v>58900000</v>
      </c>
      <c r="Q3">
        <v>466800000</v>
      </c>
      <c r="R3">
        <v>322600000</v>
      </c>
      <c r="S3">
        <v>4200000</v>
      </c>
      <c r="T3">
        <v>4200000</v>
      </c>
      <c r="U3">
        <v>1758900000</v>
      </c>
      <c r="V3">
        <v>1043700000</v>
      </c>
      <c r="W3">
        <v>500000</v>
      </c>
      <c r="X3">
        <v>0</v>
      </c>
      <c r="Y3">
        <v>975000000</v>
      </c>
      <c r="Z3">
        <v>303700000</v>
      </c>
      <c r="AA3">
        <v>671300000</v>
      </c>
      <c r="AB3">
        <v>68200000</v>
      </c>
      <c r="AC3">
        <v>715200000</v>
      </c>
      <c r="AD3">
        <v>26800000</v>
      </c>
      <c r="AE3">
        <v>25300000</v>
      </c>
      <c r="AF3">
        <v>1500000</v>
      </c>
      <c r="AG3">
        <v>110200000</v>
      </c>
      <c r="AH3">
        <v>281400000</v>
      </c>
      <c r="AI3">
        <v>174700000</v>
      </c>
      <c r="AJ3">
        <v>35400000</v>
      </c>
      <c r="AK3">
        <v>71300000</v>
      </c>
      <c r="AL3">
        <v>2625600000</v>
      </c>
      <c r="AM3">
        <v>1391100000</v>
      </c>
      <c r="AN3">
        <v>17800000</v>
      </c>
      <c r="AO3">
        <v>4100000</v>
      </c>
      <c r="AP3">
        <v>10900000</v>
      </c>
      <c r="AQ3">
        <v>700500000</v>
      </c>
      <c r="AR3">
        <v>665300000</v>
      </c>
      <c r="AS3">
        <v>35200000</v>
      </c>
      <c r="AT3">
        <v>657800000</v>
      </c>
      <c r="AU3">
        <v>-200300000</v>
      </c>
      <c r="AV3">
        <v>858100000</v>
      </c>
      <c r="AW3">
        <v>109200000</v>
      </c>
      <c r="AX3">
        <v>295200000</v>
      </c>
      <c r="AY3">
        <v>453700000</v>
      </c>
      <c r="AZ3">
        <v>295200000</v>
      </c>
      <c r="BA3">
        <v>0</v>
      </c>
      <c r="BB3">
        <v>1234500000</v>
      </c>
      <c r="BC3">
        <v>22400000</v>
      </c>
      <c r="BE3">
        <v>4100000</v>
      </c>
      <c r="BF3">
        <v>12900000</v>
      </c>
      <c r="BG3">
        <v>768000000</v>
      </c>
      <c r="BI3">
        <v>40500000</v>
      </c>
      <c r="BJ3">
        <v>9400000</v>
      </c>
      <c r="BK3">
        <v>28000000</v>
      </c>
      <c r="BL3">
        <v>-400000</v>
      </c>
      <c r="BM3">
        <v>28400000</v>
      </c>
      <c r="BN3">
        <v>353300000</v>
      </c>
      <c r="BO3">
        <v>353300000</v>
      </c>
      <c r="BP3">
        <v>267700000</v>
      </c>
      <c r="BQ3">
        <v>85600000</v>
      </c>
    </row>
    <row r="4" spans="1:69">
      <c r="A4" s="1" t="s">
        <v>84</v>
      </c>
      <c r="B4">
        <v>0</v>
      </c>
      <c r="C4">
        <v>99940235</v>
      </c>
      <c r="D4">
        <v>99940235</v>
      </c>
      <c r="E4">
        <v>152900000</v>
      </c>
      <c r="F4">
        <v>856000000</v>
      </c>
      <c r="G4">
        <v>331000000</v>
      </c>
      <c r="H4">
        <v>1490800000</v>
      </c>
      <c r="I4">
        <v>514000000</v>
      </c>
      <c r="J4">
        <v>331000000</v>
      </c>
      <c r="K4">
        <v>380100000</v>
      </c>
      <c r="L4">
        <v>1014900000</v>
      </c>
      <c r="M4">
        <v>1489400000</v>
      </c>
      <c r="N4">
        <v>1014900000</v>
      </c>
      <c r="O4">
        <v>1014900000</v>
      </c>
      <c r="P4">
        <v>58900000</v>
      </c>
      <c r="Q4">
        <v>683300000</v>
      </c>
      <c r="R4">
        <v>245700000</v>
      </c>
      <c r="S4">
        <v>3500000</v>
      </c>
      <c r="T4">
        <v>3500000</v>
      </c>
      <c r="U4">
        <v>1982000000</v>
      </c>
      <c r="V4">
        <v>942000000</v>
      </c>
      <c r="W4">
        <v>11600000</v>
      </c>
      <c r="X4">
        <v>58200000</v>
      </c>
      <c r="Y4">
        <v>830300000</v>
      </c>
      <c r="Z4">
        <v>355800000</v>
      </c>
      <c r="AA4">
        <v>474500000</v>
      </c>
      <c r="AB4">
        <v>41900000</v>
      </c>
      <c r="AC4">
        <v>1040000000</v>
      </c>
      <c r="AD4">
        <v>25700000</v>
      </c>
      <c r="AE4">
        <v>24300000</v>
      </c>
      <c r="AF4">
        <v>1400000</v>
      </c>
      <c r="AG4">
        <v>147200000</v>
      </c>
      <c r="AH4">
        <v>389900000</v>
      </c>
      <c r="AI4">
        <v>255600000</v>
      </c>
      <c r="AJ4">
        <v>40300000</v>
      </c>
      <c r="AK4">
        <v>94000000</v>
      </c>
      <c r="AL4">
        <v>2996900000</v>
      </c>
      <c r="AM4">
        <v>1442900000</v>
      </c>
      <c r="AN4">
        <v>0</v>
      </c>
      <c r="AO4">
        <v>27000000</v>
      </c>
      <c r="AP4">
        <v>0</v>
      </c>
      <c r="AQ4">
        <v>683900000</v>
      </c>
      <c r="AR4">
        <v>648700000</v>
      </c>
      <c r="AS4">
        <v>35200000</v>
      </c>
      <c r="AT4">
        <v>732000000</v>
      </c>
      <c r="AU4">
        <v>-163300000</v>
      </c>
      <c r="AV4">
        <v>895300000</v>
      </c>
      <c r="AW4">
        <v>65400000</v>
      </c>
      <c r="AX4">
        <v>380300000</v>
      </c>
      <c r="AY4">
        <v>449600000</v>
      </c>
      <c r="BB4">
        <v>1554000000</v>
      </c>
      <c r="BC4">
        <v>41400000</v>
      </c>
      <c r="BF4">
        <v>15300000</v>
      </c>
      <c r="BG4">
        <v>1078400000</v>
      </c>
      <c r="BI4">
        <v>32200000</v>
      </c>
      <c r="BJ4">
        <v>23000000</v>
      </c>
      <c r="BK4">
        <v>40700000</v>
      </c>
      <c r="BL4">
        <v>-100000</v>
      </c>
      <c r="BM4">
        <v>40800000</v>
      </c>
      <c r="BN4">
        <v>323000000</v>
      </c>
      <c r="BO4">
        <v>323000000</v>
      </c>
      <c r="BP4">
        <v>185500000</v>
      </c>
      <c r="BQ4">
        <v>137500000</v>
      </c>
    </row>
    <row r="5" spans="1:69">
      <c r="A5" s="1" t="s">
        <v>85</v>
      </c>
      <c r="B5">
        <v>0</v>
      </c>
      <c r="C5">
        <v>99837096</v>
      </c>
      <c r="D5">
        <v>99837096</v>
      </c>
      <c r="F5">
        <v>792100000</v>
      </c>
      <c r="G5">
        <v>381800000</v>
      </c>
      <c r="H5">
        <v>1497200000</v>
      </c>
      <c r="I5">
        <v>561700000</v>
      </c>
      <c r="J5">
        <v>381800000</v>
      </c>
      <c r="K5">
        <v>328900000</v>
      </c>
      <c r="L5">
        <v>1034000000</v>
      </c>
      <c r="M5">
        <v>1493400000</v>
      </c>
      <c r="N5">
        <v>1034000000</v>
      </c>
      <c r="O5">
        <v>1034000000</v>
      </c>
      <c r="P5">
        <v>61000000</v>
      </c>
      <c r="Q5">
        <v>711900000</v>
      </c>
      <c r="R5">
        <v>245700000</v>
      </c>
      <c r="S5">
        <v>3500000</v>
      </c>
      <c r="T5">
        <v>3500000</v>
      </c>
      <c r="U5">
        <v>1850500000</v>
      </c>
      <c r="V5">
        <v>852500000</v>
      </c>
      <c r="W5">
        <v>3600000</v>
      </c>
      <c r="X5">
        <v>41300000</v>
      </c>
      <c r="Y5">
        <v>764400000</v>
      </c>
      <c r="Z5">
        <v>305000000</v>
      </c>
      <c r="AA5">
        <v>459400000</v>
      </c>
      <c r="AB5">
        <v>43200000</v>
      </c>
      <c r="AC5">
        <v>998000000</v>
      </c>
      <c r="AD5">
        <v>27700000</v>
      </c>
      <c r="AE5">
        <v>23900000</v>
      </c>
      <c r="AF5">
        <v>3800000</v>
      </c>
      <c r="AH5">
        <v>642100000</v>
      </c>
      <c r="AI5">
        <v>239000000</v>
      </c>
      <c r="AJ5">
        <v>8700000</v>
      </c>
      <c r="AK5">
        <v>394400000</v>
      </c>
      <c r="AL5">
        <v>2884500000</v>
      </c>
      <c r="AM5">
        <v>1324800000</v>
      </c>
      <c r="AO5">
        <v>13400000</v>
      </c>
      <c r="AQ5">
        <v>652200000</v>
      </c>
      <c r="AR5">
        <v>619100000</v>
      </c>
      <c r="AS5">
        <v>33100000</v>
      </c>
      <c r="AT5">
        <v>659200000</v>
      </c>
      <c r="AU5">
        <v>-173500000</v>
      </c>
      <c r="AV5">
        <v>832700000</v>
      </c>
      <c r="AW5">
        <v>16100000</v>
      </c>
      <c r="AX5">
        <v>396000000</v>
      </c>
      <c r="AY5">
        <v>420600000</v>
      </c>
      <c r="BB5">
        <v>1559700000</v>
      </c>
      <c r="BC5">
        <v>23500000</v>
      </c>
      <c r="BF5">
        <v>8500000</v>
      </c>
      <c r="BG5">
        <v>807100000</v>
      </c>
      <c r="BI5">
        <v>23000000</v>
      </c>
      <c r="BJ5">
        <v>8700000</v>
      </c>
      <c r="BK5">
        <v>26200000</v>
      </c>
      <c r="BL5">
        <v>-100000</v>
      </c>
      <c r="BM5">
        <v>26300000</v>
      </c>
      <c r="BN5">
        <v>662700000</v>
      </c>
      <c r="BO5">
        <v>662700000</v>
      </c>
    </row>
    <row r="6" spans="1:69">
      <c r="A6" s="1" t="s">
        <v>86</v>
      </c>
      <c r="B6">
        <v>0</v>
      </c>
      <c r="P6">
        <v>2000000</v>
      </c>
      <c r="X6">
        <v>11400000</v>
      </c>
      <c r="BA6">
        <v>348100000</v>
      </c>
      <c r="BF6">
        <v>10100000</v>
      </c>
      <c r="BI6">
        <v>16100000</v>
      </c>
      <c r="BL6">
        <v>-100000</v>
      </c>
      <c r="BM6">
        <v>21200000</v>
      </c>
    </row>
    <row r="9" spans="1:69">
      <c r="A9" cm="1">
        <f t="array" ref="A9:F77">TRANSPOSE(A1:BQ6)</f>
        <v>0</v>
      </c>
      <c r="B9" t="str">
        <v>2024-08-31</v>
      </c>
      <c r="C9" t="str">
        <v>2023-08-31</v>
      </c>
      <c r="D9" t="str">
        <v>2022-08-31</v>
      </c>
      <c r="E9" t="str">
        <v>2021-08-31</v>
      </c>
      <c r="F9" t="str">
        <v>2020-08-31</v>
      </c>
    </row>
    <row r="10" spans="1:69">
      <c r="A10" t="str">
        <v>Treasury Shares Number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9">
      <c r="A11" t="str">
        <v>Ordinary Shares Number</v>
      </c>
      <c r="B11">
        <v>119236850</v>
      </c>
      <c r="C11">
        <v>119236850</v>
      </c>
      <c r="D11">
        <v>99940235</v>
      </c>
      <c r="E11">
        <v>99837096</v>
      </c>
      <c r="F11">
        <v>0</v>
      </c>
    </row>
    <row r="12" spans="1:69">
      <c r="A12" t="str">
        <v>Share Issued</v>
      </c>
      <c r="B12">
        <v>119236850</v>
      </c>
      <c r="C12">
        <v>119236850</v>
      </c>
      <c r="D12">
        <v>99940235</v>
      </c>
      <c r="E12">
        <v>99837096</v>
      </c>
      <c r="F12">
        <v>0</v>
      </c>
    </row>
    <row r="13" spans="1:69">
      <c r="A13" t="str">
        <v>Net Debt</v>
      </c>
      <c r="B13">
        <v>305200000</v>
      </c>
      <c r="C13">
        <v>319500000</v>
      </c>
      <c r="D13">
        <v>152900000</v>
      </c>
      <c r="E13">
        <v>0</v>
      </c>
      <c r="F13">
        <v>0</v>
      </c>
    </row>
    <row r="14" spans="1:69">
      <c r="A14" t="str">
        <v>Total Debt</v>
      </c>
      <c r="B14">
        <v>977700000</v>
      </c>
      <c r="C14">
        <v>1001800000</v>
      </c>
      <c r="D14">
        <v>856000000</v>
      </c>
      <c r="E14">
        <v>792100000</v>
      </c>
      <c r="F14">
        <v>0</v>
      </c>
    </row>
    <row r="15" spans="1:69">
      <c r="A15" t="str">
        <v>Tangible Book Value</v>
      </c>
      <c r="B15">
        <v>7300000</v>
      </c>
      <c r="C15">
        <v>166200000</v>
      </c>
      <c r="D15">
        <v>331000000</v>
      </c>
      <c r="E15">
        <v>381800000</v>
      </c>
      <c r="F15">
        <v>0</v>
      </c>
    </row>
    <row r="16" spans="1:69">
      <c r="A16" t="str">
        <v>Invested Capital</v>
      </c>
      <c r="B16">
        <v>1209400000</v>
      </c>
      <c r="C16">
        <v>1539500000</v>
      </c>
      <c r="D16">
        <v>1490800000</v>
      </c>
      <c r="E16">
        <v>1497200000</v>
      </c>
      <c r="F16">
        <v>0</v>
      </c>
    </row>
    <row r="17" spans="1:6">
      <c r="A17" t="str">
        <v>Working Capital</v>
      </c>
      <c r="B17">
        <v>432400000</v>
      </c>
      <c r="C17">
        <v>519300000</v>
      </c>
      <c r="D17">
        <v>514000000</v>
      </c>
      <c r="E17">
        <v>561700000</v>
      </c>
      <c r="F17">
        <v>0</v>
      </c>
    </row>
    <row r="18" spans="1:6">
      <c r="A18" t="str">
        <v>Net Tangible Assets</v>
      </c>
      <c r="B18">
        <v>7300000</v>
      </c>
      <c r="C18">
        <v>166200000</v>
      </c>
      <c r="D18">
        <v>331000000</v>
      </c>
      <c r="E18">
        <v>381800000</v>
      </c>
      <c r="F18">
        <v>0</v>
      </c>
    </row>
    <row r="19" spans="1:6">
      <c r="A19" t="str">
        <v>Capital Lease Obligations</v>
      </c>
      <c r="B19">
        <v>289600000</v>
      </c>
      <c r="C19">
        <v>329000000</v>
      </c>
      <c r="D19">
        <v>380100000</v>
      </c>
      <c r="E19">
        <v>328900000</v>
      </c>
      <c r="F19">
        <v>0</v>
      </c>
    </row>
    <row r="20" spans="1:6">
      <c r="A20" t="str">
        <v>Common Stock Equity</v>
      </c>
      <c r="B20">
        <v>521300000</v>
      </c>
      <c r="C20">
        <v>866700000</v>
      </c>
      <c r="D20">
        <v>1014900000</v>
      </c>
      <c r="E20">
        <v>1034000000</v>
      </c>
      <c r="F20">
        <v>0</v>
      </c>
    </row>
    <row r="21" spans="1:6">
      <c r="A21" t="str">
        <v>Total Capitalization</v>
      </c>
      <c r="B21">
        <v>1207800000</v>
      </c>
      <c r="C21">
        <v>1538000000</v>
      </c>
      <c r="D21">
        <v>1489400000</v>
      </c>
      <c r="E21">
        <v>1493400000</v>
      </c>
      <c r="F21">
        <v>0</v>
      </c>
    </row>
    <row r="22" spans="1:6">
      <c r="A22" t="str">
        <v>Total Equity Gross Minority Interest</v>
      </c>
      <c r="B22">
        <v>521300000</v>
      </c>
      <c r="C22">
        <v>866700000</v>
      </c>
      <c r="D22">
        <v>1014900000</v>
      </c>
      <c r="E22">
        <v>1034000000</v>
      </c>
      <c r="F22">
        <v>0</v>
      </c>
    </row>
    <row r="23" spans="1:6">
      <c r="A23" t="str">
        <v>Stockholders Equity</v>
      </c>
      <c r="B23">
        <v>521300000</v>
      </c>
      <c r="C23">
        <v>866700000</v>
      </c>
      <c r="D23">
        <v>1014900000</v>
      </c>
      <c r="E23">
        <v>1034000000</v>
      </c>
      <c r="F23">
        <v>0</v>
      </c>
    </row>
    <row r="24" spans="1:6">
      <c r="A24" t="str">
        <v>Other Equity Interest</v>
      </c>
      <c r="B24">
        <v>0</v>
      </c>
      <c r="C24">
        <v>58900000</v>
      </c>
      <c r="D24">
        <v>58900000</v>
      </c>
      <c r="E24">
        <v>61000000</v>
      </c>
      <c r="F24">
        <v>2000000</v>
      </c>
    </row>
    <row r="25" spans="1:6">
      <c r="A25" t="str">
        <v>Retained Earnings</v>
      </c>
      <c r="B25">
        <v>132600000</v>
      </c>
      <c r="C25">
        <v>466800000</v>
      </c>
      <c r="D25">
        <v>683300000</v>
      </c>
      <c r="E25">
        <v>711900000</v>
      </c>
      <c r="F25">
        <v>0</v>
      </c>
    </row>
    <row r="26" spans="1:6">
      <c r="A26" t="str">
        <v>Additional Paid In Capital</v>
      </c>
      <c r="B26">
        <v>322600000</v>
      </c>
      <c r="C26">
        <v>322600000</v>
      </c>
      <c r="D26">
        <v>245700000</v>
      </c>
      <c r="E26">
        <v>245700000</v>
      </c>
      <c r="F26">
        <v>0</v>
      </c>
    </row>
    <row r="27" spans="1:6">
      <c r="A27" t="str">
        <v>Capital Stock</v>
      </c>
      <c r="B27">
        <v>4200000</v>
      </c>
      <c r="C27">
        <v>4200000</v>
      </c>
      <c r="D27">
        <v>3500000</v>
      </c>
      <c r="E27">
        <v>3500000</v>
      </c>
      <c r="F27">
        <v>0</v>
      </c>
    </row>
    <row r="28" spans="1:6">
      <c r="A28" t="str">
        <v>Common Stock</v>
      </c>
      <c r="B28">
        <v>4200000</v>
      </c>
      <c r="C28">
        <v>4200000</v>
      </c>
      <c r="D28">
        <v>3500000</v>
      </c>
      <c r="E28">
        <v>3500000</v>
      </c>
      <c r="F28">
        <v>0</v>
      </c>
    </row>
    <row r="29" spans="1:6">
      <c r="A29" t="str">
        <v>Total Liabilities Net Minority Interest</v>
      </c>
      <c r="B29">
        <v>1749900000</v>
      </c>
      <c r="C29">
        <v>1758900000</v>
      </c>
      <c r="D29">
        <v>1982000000</v>
      </c>
      <c r="E29">
        <v>1850500000</v>
      </c>
      <c r="F29">
        <v>0</v>
      </c>
    </row>
    <row r="30" spans="1:6">
      <c r="A30" t="str">
        <v>Total Non Current Liabilities Net Minority Interest</v>
      </c>
      <c r="B30">
        <v>1035900000</v>
      </c>
      <c r="C30">
        <v>1043700000</v>
      </c>
      <c r="D30">
        <v>942000000</v>
      </c>
      <c r="E30">
        <v>852500000</v>
      </c>
      <c r="F30">
        <v>0</v>
      </c>
    </row>
    <row r="31" spans="1:6">
      <c r="A31" t="str">
        <v>Derivative Product Liabilities</v>
      </c>
      <c r="B31">
        <v>500000</v>
      </c>
      <c r="C31">
        <v>500000</v>
      </c>
      <c r="D31">
        <v>11600000</v>
      </c>
      <c r="E31">
        <v>3600000</v>
      </c>
      <c r="F31">
        <v>0</v>
      </c>
    </row>
    <row r="32" spans="1:6">
      <c r="A32" t="str">
        <v>Non Current Deferred Taxes Liabilities</v>
      </c>
      <c r="B32">
        <v>0</v>
      </c>
      <c r="C32">
        <v>0</v>
      </c>
      <c r="D32">
        <v>58200000</v>
      </c>
      <c r="E32">
        <v>41300000</v>
      </c>
      <c r="F32">
        <v>11400000</v>
      </c>
    </row>
    <row r="33" spans="1:6">
      <c r="A33" t="str">
        <v>Long Term Debt And Capital Lease Obligation</v>
      </c>
      <c r="B33">
        <v>948900000</v>
      </c>
      <c r="C33">
        <v>975000000</v>
      </c>
      <c r="D33">
        <v>830300000</v>
      </c>
      <c r="E33">
        <v>764400000</v>
      </c>
      <c r="F33">
        <v>0</v>
      </c>
    </row>
    <row r="34" spans="1:6">
      <c r="A34" t="str">
        <v>Long Term Capital Lease Obligation</v>
      </c>
      <c r="B34">
        <v>262400000</v>
      </c>
      <c r="C34">
        <v>303700000</v>
      </c>
      <c r="D34">
        <v>355800000</v>
      </c>
      <c r="E34">
        <v>305000000</v>
      </c>
      <c r="F34">
        <v>0</v>
      </c>
    </row>
    <row r="35" spans="1:6">
      <c r="A35" t="str">
        <v>Long Term Debt</v>
      </c>
      <c r="B35">
        <v>686500000</v>
      </c>
      <c r="C35">
        <v>671300000</v>
      </c>
      <c r="D35">
        <v>474500000</v>
      </c>
      <c r="E35">
        <v>459400000</v>
      </c>
      <c r="F35">
        <v>0</v>
      </c>
    </row>
    <row r="36" spans="1:6">
      <c r="A36" t="str">
        <v>Long Term Provisions</v>
      </c>
      <c r="B36">
        <v>86500000</v>
      </c>
      <c r="C36">
        <v>68200000</v>
      </c>
      <c r="D36">
        <v>41900000</v>
      </c>
      <c r="E36">
        <v>43200000</v>
      </c>
      <c r="F36">
        <v>0</v>
      </c>
    </row>
    <row r="37" spans="1:6">
      <c r="A37" t="str">
        <v>Current Liabilities</v>
      </c>
      <c r="B37">
        <v>714000000</v>
      </c>
      <c r="C37">
        <v>715200000</v>
      </c>
      <c r="D37">
        <v>1040000000</v>
      </c>
      <c r="E37">
        <v>998000000</v>
      </c>
      <c r="F37">
        <v>0</v>
      </c>
    </row>
    <row r="38" spans="1:6">
      <c r="A38" t="str">
        <v>Current Debt And Capital Lease Obligation</v>
      </c>
      <c r="B38">
        <v>28800000</v>
      </c>
      <c r="C38">
        <v>26800000</v>
      </c>
      <c r="D38">
        <v>25700000</v>
      </c>
      <c r="E38">
        <v>27700000</v>
      </c>
      <c r="F38">
        <v>0</v>
      </c>
    </row>
    <row r="39" spans="1:6">
      <c r="A39" t="str">
        <v>Current Capital Lease Obligation</v>
      </c>
      <c r="B39">
        <v>27200000</v>
      </c>
      <c r="C39">
        <v>25300000</v>
      </c>
      <c r="D39">
        <v>24300000</v>
      </c>
      <c r="E39">
        <v>23900000</v>
      </c>
      <c r="F39">
        <v>0</v>
      </c>
    </row>
    <row r="40" spans="1:6">
      <c r="A40" t="str">
        <v>Current Debt</v>
      </c>
      <c r="B40">
        <v>1600000</v>
      </c>
      <c r="C40">
        <v>1500000</v>
      </c>
      <c r="D40">
        <v>1400000</v>
      </c>
      <c r="E40">
        <v>3800000</v>
      </c>
      <c r="F40">
        <v>0</v>
      </c>
    </row>
    <row r="41" spans="1:6">
      <c r="A41" t="str">
        <v>Current Provisions</v>
      </c>
      <c r="B41">
        <v>101900000</v>
      </c>
      <c r="C41">
        <v>110200000</v>
      </c>
      <c r="D41">
        <v>147200000</v>
      </c>
      <c r="E41">
        <v>0</v>
      </c>
      <c r="F41">
        <v>0</v>
      </c>
    </row>
    <row r="42" spans="1:6">
      <c r="A42" t="str">
        <v>Payables</v>
      </c>
      <c r="B42">
        <v>292800000</v>
      </c>
      <c r="C42">
        <v>281400000</v>
      </c>
      <c r="D42">
        <v>389900000</v>
      </c>
      <c r="E42">
        <v>642100000</v>
      </c>
      <c r="F42">
        <v>0</v>
      </c>
    </row>
    <row r="43" spans="1:6">
      <c r="A43" t="str">
        <v>Other Payable</v>
      </c>
      <c r="B43">
        <v>165900000</v>
      </c>
      <c r="C43">
        <v>174700000</v>
      </c>
      <c r="D43">
        <v>255600000</v>
      </c>
      <c r="E43">
        <v>239000000</v>
      </c>
      <c r="F43">
        <v>0</v>
      </c>
    </row>
    <row r="44" spans="1:6">
      <c r="A44" t="str">
        <v>Total Tax Payable</v>
      </c>
      <c r="B44">
        <v>18800000</v>
      </c>
      <c r="C44">
        <v>35400000</v>
      </c>
      <c r="D44">
        <v>40300000</v>
      </c>
      <c r="E44">
        <v>8700000</v>
      </c>
      <c r="F44">
        <v>0</v>
      </c>
    </row>
    <row r="45" spans="1:6">
      <c r="A45" t="str">
        <v>Accounts Payable</v>
      </c>
      <c r="B45">
        <v>108100000</v>
      </c>
      <c r="C45">
        <v>71300000</v>
      </c>
      <c r="D45">
        <v>94000000</v>
      </c>
      <c r="E45">
        <v>394400000</v>
      </c>
      <c r="F45">
        <v>0</v>
      </c>
    </row>
    <row r="46" spans="1:6">
      <c r="A46" t="str">
        <v>Total Assets</v>
      </c>
      <c r="B46">
        <v>2271200000</v>
      </c>
      <c r="C46">
        <v>2625600000</v>
      </c>
      <c r="D46">
        <v>2996900000</v>
      </c>
      <c r="E46">
        <v>2884500000</v>
      </c>
      <c r="F46">
        <v>0</v>
      </c>
    </row>
    <row r="47" spans="1:6">
      <c r="A47" t="str">
        <v>Total Non Current Assets</v>
      </c>
      <c r="B47">
        <v>1124800000</v>
      </c>
      <c r="C47">
        <v>1391100000</v>
      </c>
      <c r="D47">
        <v>1442900000</v>
      </c>
      <c r="E47">
        <v>1324800000</v>
      </c>
      <c r="F47">
        <v>0</v>
      </c>
    </row>
    <row r="48" spans="1:6">
      <c r="A48" t="str">
        <v>Non Current Deferred Taxes Assets</v>
      </c>
      <c r="B48">
        <v>62500000</v>
      </c>
      <c r="C48">
        <v>17800000</v>
      </c>
      <c r="D48">
        <v>0</v>
      </c>
      <c r="E48">
        <v>0</v>
      </c>
      <c r="F48">
        <v>0</v>
      </c>
    </row>
    <row r="49" spans="1:6">
      <c r="A49" t="str">
        <v>Financial Assets</v>
      </c>
      <c r="B49">
        <v>300000</v>
      </c>
      <c r="C49">
        <v>4100000</v>
      </c>
      <c r="D49">
        <v>27000000</v>
      </c>
      <c r="E49">
        <v>13400000</v>
      </c>
      <c r="F49">
        <v>0</v>
      </c>
    </row>
    <row r="50" spans="1:6">
      <c r="A50" t="str">
        <v>Investment Properties</v>
      </c>
      <c r="B50">
        <v>7100000</v>
      </c>
      <c r="C50">
        <v>10900000</v>
      </c>
      <c r="D50">
        <v>0</v>
      </c>
      <c r="E50">
        <v>0</v>
      </c>
      <c r="F50">
        <v>0</v>
      </c>
    </row>
    <row r="51" spans="1:6">
      <c r="A51" t="str">
        <v>Goodwill And Other Intangible Assets</v>
      </c>
      <c r="B51">
        <v>514000000</v>
      </c>
      <c r="C51">
        <v>700500000</v>
      </c>
      <c r="D51">
        <v>683900000</v>
      </c>
      <c r="E51">
        <v>652200000</v>
      </c>
      <c r="F51">
        <v>0</v>
      </c>
    </row>
    <row r="52" spans="1:6">
      <c r="A52" t="str">
        <v>Other Intangible Assets</v>
      </c>
      <c r="B52">
        <v>478800000</v>
      </c>
      <c r="C52">
        <v>665300000</v>
      </c>
      <c r="D52">
        <v>648700000</v>
      </c>
      <c r="E52">
        <v>619100000</v>
      </c>
      <c r="F52">
        <v>0</v>
      </c>
    </row>
    <row r="53" spans="1:6">
      <c r="A53" t="str">
        <v>Goodwill</v>
      </c>
      <c r="B53">
        <v>35200000</v>
      </c>
      <c r="C53">
        <v>35200000</v>
      </c>
      <c r="D53">
        <v>35200000</v>
      </c>
      <c r="E53">
        <v>33100000</v>
      </c>
      <c r="F53">
        <v>0</v>
      </c>
    </row>
    <row r="54" spans="1:6">
      <c r="A54" t="str">
        <v>Net PPE</v>
      </c>
      <c r="B54">
        <v>537200000</v>
      </c>
      <c r="C54">
        <v>657800000</v>
      </c>
      <c r="D54">
        <v>732000000</v>
      </c>
      <c r="E54">
        <v>659200000</v>
      </c>
      <c r="F54">
        <v>0</v>
      </c>
    </row>
    <row r="55" spans="1:6">
      <c r="A55" t="str">
        <v>Accumulated Depreciation</v>
      </c>
      <c r="B55">
        <v>-325100000</v>
      </c>
      <c r="C55">
        <v>-200300000</v>
      </c>
      <c r="D55">
        <v>-163300000</v>
      </c>
      <c r="E55">
        <v>-173500000</v>
      </c>
      <c r="F55">
        <v>0</v>
      </c>
    </row>
    <row r="56" spans="1:6">
      <c r="A56" t="str">
        <v>Gross PPE</v>
      </c>
      <c r="B56">
        <v>862300000</v>
      </c>
      <c r="C56">
        <v>858100000</v>
      </c>
      <c r="D56">
        <v>895300000</v>
      </c>
      <c r="E56">
        <v>832700000</v>
      </c>
      <c r="F56">
        <v>0</v>
      </c>
    </row>
    <row r="57" spans="1:6">
      <c r="A57" t="str">
        <v>Construction In Progress</v>
      </c>
      <c r="B57">
        <v>150900000</v>
      </c>
      <c r="C57">
        <v>109200000</v>
      </c>
      <c r="D57">
        <v>65400000</v>
      </c>
      <c r="E57">
        <v>16100000</v>
      </c>
      <c r="F57">
        <v>0</v>
      </c>
    </row>
    <row r="58" spans="1:6">
      <c r="A58" t="str">
        <v>Other Properties</v>
      </c>
      <c r="B58">
        <v>254000000</v>
      </c>
      <c r="C58">
        <v>295200000</v>
      </c>
      <c r="D58">
        <v>380300000</v>
      </c>
      <c r="E58">
        <v>396000000</v>
      </c>
      <c r="F58">
        <v>0</v>
      </c>
    </row>
    <row r="59" spans="1:6">
      <c r="A59" t="str">
        <v>Machinery Furniture Equipment</v>
      </c>
      <c r="B59">
        <v>457400000</v>
      </c>
      <c r="C59">
        <v>453700000</v>
      </c>
      <c r="D59">
        <v>449600000</v>
      </c>
      <c r="E59">
        <v>420600000</v>
      </c>
      <c r="F59">
        <v>0</v>
      </c>
    </row>
    <row r="60" spans="1:6">
      <c r="A60" t="str">
        <v>Buildings And Improvements</v>
      </c>
      <c r="B60">
        <v>0</v>
      </c>
      <c r="C60">
        <v>295200000</v>
      </c>
      <c r="D60">
        <v>0</v>
      </c>
      <c r="E60">
        <v>0</v>
      </c>
      <c r="F60">
        <v>0</v>
      </c>
    </row>
    <row r="61" spans="1:6">
      <c r="A61" t="str">
        <v>Properties</v>
      </c>
      <c r="B61">
        <v>0</v>
      </c>
      <c r="C61">
        <v>0</v>
      </c>
      <c r="D61">
        <v>0</v>
      </c>
      <c r="E61">
        <v>0</v>
      </c>
      <c r="F61">
        <v>348100000</v>
      </c>
    </row>
    <row r="62" spans="1:6">
      <c r="A62" t="str">
        <v>Current Assets</v>
      </c>
      <c r="B62">
        <v>1146400000</v>
      </c>
      <c r="C62">
        <v>1234500000</v>
      </c>
      <c r="D62">
        <v>1554000000</v>
      </c>
      <c r="E62">
        <v>1559700000</v>
      </c>
      <c r="F62">
        <v>0</v>
      </c>
    </row>
    <row r="63" spans="1:6">
      <c r="A63" t="str">
        <v>Hedging Assets Current</v>
      </c>
      <c r="B63">
        <v>9500000</v>
      </c>
      <c r="C63">
        <v>22400000</v>
      </c>
      <c r="D63">
        <v>41400000</v>
      </c>
      <c r="E63">
        <v>23500000</v>
      </c>
      <c r="F63">
        <v>0</v>
      </c>
    </row>
    <row r="64" spans="1:6">
      <c r="A64" t="str">
        <v>Assets Held For Sale Current</v>
      </c>
      <c r="B64">
        <v>165500000</v>
      </c>
      <c r="C64">
        <v>0</v>
      </c>
      <c r="D64">
        <v>0</v>
      </c>
      <c r="E64">
        <v>0</v>
      </c>
      <c r="F64">
        <v>0</v>
      </c>
    </row>
    <row r="65" spans="1:6">
      <c r="A65" t="str">
        <v>Restricted Cash</v>
      </c>
      <c r="B65">
        <v>8100000</v>
      </c>
      <c r="C65">
        <v>4100000</v>
      </c>
      <c r="D65">
        <v>0</v>
      </c>
      <c r="E65">
        <v>0</v>
      </c>
      <c r="F65">
        <v>0</v>
      </c>
    </row>
    <row r="66" spans="1:6">
      <c r="A66" t="str">
        <v>Prepaid Assets</v>
      </c>
      <c r="B66">
        <v>0</v>
      </c>
      <c r="C66">
        <v>12900000</v>
      </c>
      <c r="D66">
        <v>15300000</v>
      </c>
      <c r="E66">
        <v>8500000</v>
      </c>
      <c r="F66">
        <v>10100000</v>
      </c>
    </row>
    <row r="67" spans="1:6">
      <c r="A67" t="str">
        <v>Inventory</v>
      </c>
      <c r="B67">
        <v>520300000</v>
      </c>
      <c r="C67">
        <v>768000000</v>
      </c>
      <c r="D67">
        <v>1078400000</v>
      </c>
      <c r="E67">
        <v>807100000</v>
      </c>
      <c r="F67">
        <v>0</v>
      </c>
    </row>
    <row r="68" spans="1:6">
      <c r="A68" t="str">
        <v>Finished Goods</v>
      </c>
      <c r="B68">
        <v>520300000</v>
      </c>
      <c r="C68">
        <v>0</v>
      </c>
      <c r="D68">
        <v>0</v>
      </c>
      <c r="E68">
        <v>0</v>
      </c>
      <c r="F68">
        <v>0</v>
      </c>
    </row>
    <row r="69" spans="1:6">
      <c r="A69" t="str">
        <v>Other Receivables</v>
      </c>
      <c r="B69">
        <v>0</v>
      </c>
      <c r="C69">
        <v>40500000</v>
      </c>
      <c r="D69">
        <v>32200000</v>
      </c>
      <c r="E69">
        <v>23000000</v>
      </c>
      <c r="F69">
        <v>16100000</v>
      </c>
    </row>
    <row r="70" spans="1:6">
      <c r="A70" t="str">
        <v>Taxes Receivable</v>
      </c>
      <c r="B70">
        <v>6700000</v>
      </c>
      <c r="C70">
        <v>9400000</v>
      </c>
      <c r="D70">
        <v>23000000</v>
      </c>
      <c r="E70">
        <v>8700000</v>
      </c>
      <c r="F70">
        <v>0</v>
      </c>
    </row>
    <row r="71" spans="1:6">
      <c r="A71" t="str">
        <v>Accounts Receivable</v>
      </c>
      <c r="B71">
        <v>53400000</v>
      </c>
      <c r="C71">
        <v>28000000</v>
      </c>
      <c r="D71">
        <v>40700000</v>
      </c>
      <c r="E71">
        <v>26200000</v>
      </c>
      <c r="F71">
        <v>0</v>
      </c>
    </row>
    <row r="72" spans="1:6">
      <c r="A72" t="str">
        <v>Allowance For Doubtful Accounts Receivable</v>
      </c>
      <c r="B72">
        <v>0</v>
      </c>
      <c r="C72">
        <v>-400000</v>
      </c>
      <c r="D72">
        <v>-100000</v>
      </c>
      <c r="E72">
        <v>-100000</v>
      </c>
      <c r="F72">
        <v>-100000</v>
      </c>
    </row>
    <row r="73" spans="1:6">
      <c r="A73" t="str">
        <v>Gross Accounts Receivable</v>
      </c>
      <c r="B73">
        <v>0</v>
      </c>
      <c r="C73">
        <v>28400000</v>
      </c>
      <c r="D73">
        <v>40800000</v>
      </c>
      <c r="E73">
        <v>26300000</v>
      </c>
      <c r="F73">
        <v>21200000</v>
      </c>
    </row>
    <row r="74" spans="1:6">
      <c r="A74" t="str">
        <v>Cash Cash Equivalents And Short Term Investments</v>
      </c>
      <c r="B74">
        <v>382900000</v>
      </c>
      <c r="C74">
        <v>353300000</v>
      </c>
      <c r="D74">
        <v>323000000</v>
      </c>
      <c r="E74">
        <v>662700000</v>
      </c>
      <c r="F74">
        <v>0</v>
      </c>
    </row>
    <row r="75" spans="1:6">
      <c r="A75" t="str">
        <v>Cash And Cash Equivalents</v>
      </c>
      <c r="B75">
        <v>382900000</v>
      </c>
      <c r="C75">
        <v>353300000</v>
      </c>
      <c r="D75">
        <v>323000000</v>
      </c>
      <c r="E75">
        <v>662700000</v>
      </c>
      <c r="F75">
        <v>0</v>
      </c>
    </row>
    <row r="76" spans="1:6">
      <c r="A76" t="str">
        <v>Cash Equivalents</v>
      </c>
      <c r="B76">
        <v>299800000</v>
      </c>
      <c r="C76">
        <v>267700000</v>
      </c>
      <c r="D76">
        <v>185500000</v>
      </c>
      <c r="E76">
        <v>0</v>
      </c>
      <c r="F76">
        <v>0</v>
      </c>
    </row>
    <row r="77" spans="1:6">
      <c r="A77" t="str">
        <v>Cash Financial</v>
      </c>
      <c r="B77">
        <v>83100000</v>
      </c>
      <c r="C77">
        <v>85600000</v>
      </c>
      <c r="D77">
        <v>137500000</v>
      </c>
      <c r="E77">
        <v>0</v>
      </c>
      <c r="F77">
        <v>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Z60"/>
  <sheetViews>
    <sheetView workbookViewId="0">
      <selection activeCell="AY26" sqref="AY26"/>
    </sheetView>
  </sheetViews>
  <sheetFormatPr defaultRowHeight="14.5"/>
  <cols>
    <col min="3" max="3" width="16.6328125" bestFit="1" customWidth="1"/>
    <col min="4" max="4" width="18.36328125" bestFit="1" customWidth="1"/>
    <col min="12" max="12" width="19" bestFit="1" customWidth="1"/>
    <col min="13" max="13" width="16" bestFit="1" customWidth="1"/>
    <col min="50" max="50" width="15.90625" bestFit="1" customWidth="1"/>
    <col min="51" max="51" width="13.90625" bestFit="1" customWidth="1"/>
    <col min="52" max="52" width="18.453125" bestFit="1" customWidth="1"/>
  </cols>
  <sheetData>
    <row r="1" spans="1:52">
      <c r="B1" s="1" t="s">
        <v>155</v>
      </c>
      <c r="C1" s="1" t="s">
        <v>156</v>
      </c>
      <c r="D1" s="1" t="s">
        <v>157</v>
      </c>
      <c r="E1" s="1" t="s">
        <v>158</v>
      </c>
      <c r="F1" s="1" t="s">
        <v>159</v>
      </c>
      <c r="G1" s="1" t="s">
        <v>160</v>
      </c>
      <c r="H1" s="1" t="s">
        <v>161</v>
      </c>
      <c r="I1" s="1" t="s">
        <v>162</v>
      </c>
      <c r="J1" s="1" t="s">
        <v>11</v>
      </c>
      <c r="K1" s="1" t="s">
        <v>163</v>
      </c>
      <c r="L1" s="1" t="s">
        <v>164</v>
      </c>
      <c r="M1" s="1" t="s">
        <v>165</v>
      </c>
      <c r="N1" s="1" t="s">
        <v>166</v>
      </c>
      <c r="O1" s="1" t="s">
        <v>167</v>
      </c>
      <c r="P1" s="1" t="s">
        <v>168</v>
      </c>
      <c r="Q1" s="1" t="s">
        <v>169</v>
      </c>
      <c r="R1" s="1" t="s">
        <v>170</v>
      </c>
      <c r="S1" s="1" t="s">
        <v>171</v>
      </c>
      <c r="T1" s="1" t="s">
        <v>172</v>
      </c>
      <c r="U1" s="1" t="s">
        <v>173</v>
      </c>
      <c r="V1" s="1" t="s">
        <v>174</v>
      </c>
      <c r="W1" s="1" t="s">
        <v>175</v>
      </c>
      <c r="X1" s="1" t="s">
        <v>176</v>
      </c>
      <c r="Y1" s="1" t="s">
        <v>177</v>
      </c>
      <c r="Z1" s="1" t="s">
        <v>178</v>
      </c>
      <c r="AA1" s="1" t="s">
        <v>179</v>
      </c>
      <c r="AB1" s="1" t="s">
        <v>180</v>
      </c>
      <c r="AC1" s="1" t="s">
        <v>181</v>
      </c>
      <c r="AD1" s="1" t="s">
        <v>182</v>
      </c>
      <c r="AE1" s="1" t="s">
        <v>183</v>
      </c>
      <c r="AF1" s="1" t="s">
        <v>184</v>
      </c>
      <c r="AG1" s="1" t="s">
        <v>185</v>
      </c>
      <c r="AH1" s="1" t="s">
        <v>186</v>
      </c>
      <c r="AI1" s="1" t="s">
        <v>187</v>
      </c>
      <c r="AJ1" s="1" t="s">
        <v>188</v>
      </c>
      <c r="AK1" s="1" t="s">
        <v>189</v>
      </c>
      <c r="AL1" s="1" t="s">
        <v>190</v>
      </c>
      <c r="AM1" s="1" t="s">
        <v>191</v>
      </c>
      <c r="AN1" s="1" t="s">
        <v>192</v>
      </c>
      <c r="AO1" s="1" t="s">
        <v>193</v>
      </c>
      <c r="AP1" s="1" t="s">
        <v>194</v>
      </c>
      <c r="AQ1" s="1" t="s">
        <v>195</v>
      </c>
      <c r="AR1" s="1" t="s">
        <v>196</v>
      </c>
      <c r="AS1" s="1" t="s">
        <v>197</v>
      </c>
      <c r="AT1" s="1" t="s">
        <v>198</v>
      </c>
      <c r="AU1" s="1" t="s">
        <v>199</v>
      </c>
      <c r="AV1" s="1" t="s">
        <v>200</v>
      </c>
      <c r="AW1" s="1" t="s">
        <v>6</v>
      </c>
      <c r="AX1" s="1" t="s">
        <v>201</v>
      </c>
      <c r="AY1" s="1" t="s">
        <v>5</v>
      </c>
      <c r="AZ1" s="1" t="s">
        <v>202</v>
      </c>
    </row>
    <row r="2" spans="1:52">
      <c r="A2" s="1" t="s">
        <v>82</v>
      </c>
      <c r="B2">
        <v>0</v>
      </c>
      <c r="C2">
        <v>0.107</v>
      </c>
      <c r="D2">
        <v>-147600000</v>
      </c>
      <c r="G2">
        <v>-338700000</v>
      </c>
      <c r="H2">
        <v>172300000</v>
      </c>
      <c r="I2">
        <v>1743300000</v>
      </c>
      <c r="J2">
        <v>-147600000</v>
      </c>
      <c r="K2">
        <v>-319900000</v>
      </c>
      <c r="L2">
        <v>-47400000</v>
      </c>
      <c r="M2">
        <v>59400000</v>
      </c>
      <c r="N2">
        <v>12000000</v>
      </c>
      <c r="O2">
        <v>-338700000</v>
      </c>
      <c r="P2">
        <v>-338700000</v>
      </c>
      <c r="Q2">
        <v>3237700000</v>
      </c>
      <c r="S2">
        <v>-331900000</v>
      </c>
      <c r="T2">
        <v>119085260</v>
      </c>
      <c r="U2">
        <v>119085260</v>
      </c>
      <c r="V2">
        <v>-2.8439999999999999</v>
      </c>
      <c r="W2">
        <v>-2.8439999999999999</v>
      </c>
      <c r="X2">
        <v>-338700000</v>
      </c>
      <c r="Y2">
        <v>0</v>
      </c>
      <c r="Z2">
        <v>-338700000</v>
      </c>
      <c r="AA2">
        <v>0</v>
      </c>
      <c r="AB2">
        <v>-338700000</v>
      </c>
      <c r="AD2">
        <v>-338700000</v>
      </c>
      <c r="AE2">
        <v>-338700000</v>
      </c>
      <c r="AF2">
        <v>-40600000</v>
      </c>
      <c r="AG2">
        <v>-379300000</v>
      </c>
      <c r="AL2">
        <v>-47400000</v>
      </c>
      <c r="AM2">
        <v>59400000</v>
      </c>
      <c r="AN2">
        <v>12000000</v>
      </c>
      <c r="AO2">
        <v>-331900000</v>
      </c>
      <c r="AP2">
        <v>1494400000</v>
      </c>
      <c r="AT2">
        <v>1496400000</v>
      </c>
      <c r="AU2">
        <v>326100000</v>
      </c>
      <c r="AV2">
        <v>1170300000</v>
      </c>
      <c r="AW2">
        <v>1162500000</v>
      </c>
      <c r="AX2">
        <v>1743300000</v>
      </c>
      <c r="AY2">
        <v>2905800000</v>
      </c>
      <c r="AZ2">
        <v>2905800000</v>
      </c>
    </row>
    <row r="3" spans="1:52">
      <c r="A3" s="1" t="s">
        <v>83</v>
      </c>
      <c r="B3">
        <v>0</v>
      </c>
      <c r="C3">
        <v>0.248</v>
      </c>
      <c r="D3">
        <v>-71000000</v>
      </c>
      <c r="E3">
        <v>-104400000</v>
      </c>
      <c r="F3">
        <v>-104400000</v>
      </c>
      <c r="G3">
        <v>-223100000</v>
      </c>
      <c r="H3">
        <v>172500000</v>
      </c>
      <c r="I3">
        <v>2090500000</v>
      </c>
      <c r="J3">
        <v>-71000000</v>
      </c>
      <c r="K3">
        <v>-243500000</v>
      </c>
      <c r="L3">
        <v>-48200000</v>
      </c>
      <c r="M3">
        <v>53200000</v>
      </c>
      <c r="N3">
        <v>5000000</v>
      </c>
      <c r="O3">
        <v>-223100000</v>
      </c>
      <c r="P3">
        <v>-223100000</v>
      </c>
      <c r="Q3">
        <v>3798000000</v>
      </c>
      <c r="S3">
        <v>-248500000</v>
      </c>
      <c r="T3">
        <v>104729376</v>
      </c>
      <c r="U3">
        <v>104729376</v>
      </c>
      <c r="V3">
        <v>-2.13</v>
      </c>
      <c r="W3">
        <v>-2.13</v>
      </c>
      <c r="X3">
        <v>-223100000</v>
      </c>
      <c r="Y3">
        <v>0</v>
      </c>
      <c r="Z3">
        <v>-223100000</v>
      </c>
      <c r="AA3">
        <v>0</v>
      </c>
      <c r="AB3">
        <v>-223100000</v>
      </c>
      <c r="AD3">
        <v>-223100000</v>
      </c>
      <c r="AE3">
        <v>-223100000</v>
      </c>
      <c r="AF3">
        <v>-73600000</v>
      </c>
      <c r="AG3">
        <v>-296700000</v>
      </c>
      <c r="AH3">
        <v>-104400000</v>
      </c>
      <c r="AI3">
        <v>104400000</v>
      </c>
      <c r="AL3">
        <v>-48200000</v>
      </c>
      <c r="AM3">
        <v>53200000</v>
      </c>
      <c r="AN3">
        <v>5000000</v>
      </c>
      <c r="AO3">
        <v>-248500000</v>
      </c>
      <c r="AP3">
        <v>1707500000</v>
      </c>
      <c r="AQ3">
        <v>10700000</v>
      </c>
      <c r="AR3">
        <v>10700000</v>
      </c>
      <c r="AS3">
        <v>0</v>
      </c>
      <c r="AT3">
        <v>1709500000</v>
      </c>
      <c r="AU3">
        <v>429700000</v>
      </c>
      <c r="AV3">
        <v>1279800000</v>
      </c>
      <c r="AW3">
        <v>1459000000</v>
      </c>
      <c r="AX3">
        <v>2090500000</v>
      </c>
      <c r="AY3">
        <v>3549500000</v>
      </c>
      <c r="AZ3">
        <v>3549500000</v>
      </c>
    </row>
    <row r="4" spans="1:52">
      <c r="A4" s="1" t="s">
        <v>84</v>
      </c>
      <c r="B4">
        <v>-1468800</v>
      </c>
      <c r="C4">
        <v>3.4000000000000002E-2</v>
      </c>
      <c r="D4">
        <v>184100000</v>
      </c>
      <c r="E4">
        <v>-43200000</v>
      </c>
      <c r="F4">
        <v>-43200000</v>
      </c>
      <c r="G4">
        <v>-30800000</v>
      </c>
      <c r="H4">
        <v>149800000</v>
      </c>
      <c r="I4">
        <v>2219000000</v>
      </c>
      <c r="J4">
        <v>140900000</v>
      </c>
      <c r="K4">
        <v>-8900000</v>
      </c>
      <c r="L4">
        <v>-22100000</v>
      </c>
      <c r="M4">
        <v>23000000</v>
      </c>
      <c r="N4">
        <v>900000</v>
      </c>
      <c r="O4">
        <v>10931200</v>
      </c>
      <c r="P4">
        <v>-30800000</v>
      </c>
      <c r="Q4">
        <v>3903100000</v>
      </c>
      <c r="R4">
        <v>900000</v>
      </c>
      <c r="S4">
        <v>-9800000</v>
      </c>
      <c r="T4">
        <v>99696028</v>
      </c>
      <c r="U4">
        <v>99696028</v>
      </c>
      <c r="V4">
        <v>-0.309</v>
      </c>
      <c r="W4">
        <v>-0.309</v>
      </c>
      <c r="X4">
        <v>-30800000</v>
      </c>
      <c r="Z4">
        <v>-30800000</v>
      </c>
      <c r="AA4">
        <v>0</v>
      </c>
      <c r="AB4">
        <v>-30800000</v>
      </c>
      <c r="AD4">
        <v>-30800000</v>
      </c>
      <c r="AE4">
        <v>-30800000</v>
      </c>
      <c r="AF4">
        <v>-1100000</v>
      </c>
      <c r="AG4">
        <v>-31900000</v>
      </c>
      <c r="AH4">
        <v>-43200000</v>
      </c>
      <c r="AI4">
        <v>25400000</v>
      </c>
      <c r="AJ4">
        <v>18500000</v>
      </c>
      <c r="AK4">
        <v>-700000</v>
      </c>
      <c r="AL4">
        <v>-22100000</v>
      </c>
      <c r="AM4">
        <v>23000000</v>
      </c>
      <c r="AN4">
        <v>900000</v>
      </c>
      <c r="AO4">
        <v>33400000</v>
      </c>
      <c r="AP4">
        <v>1684100000</v>
      </c>
      <c r="AQ4">
        <v>10700000</v>
      </c>
      <c r="AR4">
        <v>10700000</v>
      </c>
      <c r="AS4">
        <v>0</v>
      </c>
      <c r="AT4">
        <v>1694000000</v>
      </c>
      <c r="AU4">
        <v>523700000</v>
      </c>
      <c r="AV4">
        <v>1170300000</v>
      </c>
      <c r="AW4">
        <v>1717500000</v>
      </c>
      <c r="AX4">
        <v>2219000000</v>
      </c>
      <c r="AY4">
        <v>3936500000</v>
      </c>
      <c r="AZ4">
        <v>3936500000</v>
      </c>
    </row>
    <row r="5" spans="1:52">
      <c r="A5" s="1" t="s">
        <v>85</v>
      </c>
      <c r="B5">
        <v>0</v>
      </c>
      <c r="C5">
        <v>0.27500000000000002</v>
      </c>
      <c r="D5">
        <v>325800000</v>
      </c>
      <c r="G5">
        <v>128400000</v>
      </c>
      <c r="H5">
        <v>135500000</v>
      </c>
      <c r="I5">
        <v>2134100000</v>
      </c>
      <c r="J5">
        <v>325800000</v>
      </c>
      <c r="K5">
        <v>190300000</v>
      </c>
      <c r="L5">
        <v>-13000000</v>
      </c>
      <c r="M5">
        <v>13200000</v>
      </c>
      <c r="N5">
        <v>200000</v>
      </c>
      <c r="O5">
        <v>128400000</v>
      </c>
      <c r="P5">
        <v>128400000</v>
      </c>
      <c r="Q5">
        <v>3720400000</v>
      </c>
      <c r="R5">
        <v>600000</v>
      </c>
      <c r="S5">
        <v>190100000</v>
      </c>
      <c r="T5">
        <v>106209306</v>
      </c>
      <c r="U5">
        <v>99590828</v>
      </c>
      <c r="V5">
        <v>1.2549999999999999</v>
      </c>
      <c r="W5">
        <v>1.2889999999999999</v>
      </c>
      <c r="X5">
        <v>128400000</v>
      </c>
      <c r="Z5">
        <v>128400000</v>
      </c>
      <c r="AA5">
        <v>0</v>
      </c>
      <c r="AB5">
        <v>128400000</v>
      </c>
      <c r="AC5">
        <v>0</v>
      </c>
      <c r="AD5">
        <v>128400000</v>
      </c>
      <c r="AE5">
        <v>128400000</v>
      </c>
      <c r="AF5">
        <v>48700000</v>
      </c>
      <c r="AG5">
        <v>177100000</v>
      </c>
      <c r="AL5">
        <v>-13000000</v>
      </c>
      <c r="AM5">
        <v>13200000</v>
      </c>
      <c r="AN5">
        <v>200000</v>
      </c>
      <c r="AO5">
        <v>190100000</v>
      </c>
      <c r="AP5">
        <v>1586300000</v>
      </c>
      <c r="AT5">
        <v>1586300000</v>
      </c>
      <c r="AU5">
        <v>509500000</v>
      </c>
      <c r="AV5">
        <v>1076800000</v>
      </c>
      <c r="AW5">
        <v>1776400000</v>
      </c>
      <c r="AX5">
        <v>2134100000</v>
      </c>
      <c r="AY5">
        <v>3910500000</v>
      </c>
      <c r="AZ5">
        <v>3910500000</v>
      </c>
    </row>
    <row r="6" spans="1:52">
      <c r="A6" s="1" t="s">
        <v>86</v>
      </c>
      <c r="R6">
        <v>2500000</v>
      </c>
      <c r="AC6">
        <v>0</v>
      </c>
    </row>
    <row r="9" spans="1:52">
      <c r="A9" cm="1">
        <f t="array" ref="A9:F60">TRANSPOSE(A1:AZ6)</f>
        <v>0</v>
      </c>
      <c r="B9" t="str">
        <v>2024-08-31</v>
      </c>
      <c r="C9" t="str">
        <v>2023-08-31</v>
      </c>
      <c r="D9" t="str">
        <v>2022-08-31</v>
      </c>
      <c r="E9" t="str">
        <v>2021-08-31</v>
      </c>
      <c r="F9" t="str">
        <v>2020-08-31</v>
      </c>
    </row>
    <row r="10" spans="1:52">
      <c r="A10" t="str">
        <v>Tax Effect Of Unusual Items</v>
      </c>
      <c r="B10">
        <v>0</v>
      </c>
      <c r="C10">
        <v>0</v>
      </c>
      <c r="D10">
        <v>-1468800</v>
      </c>
      <c r="E10">
        <v>0</v>
      </c>
      <c r="F10">
        <v>0</v>
      </c>
    </row>
    <row r="11" spans="1:52">
      <c r="A11" t="str">
        <v>Tax Rate For Calcs</v>
      </c>
      <c r="B11">
        <v>0.107</v>
      </c>
      <c r="C11">
        <v>0.248</v>
      </c>
      <c r="D11">
        <v>3.4000000000000002E-2</v>
      </c>
      <c r="E11">
        <v>0.27500000000000002</v>
      </c>
      <c r="F11">
        <v>0</v>
      </c>
    </row>
    <row r="12" spans="1:52">
      <c r="A12" t="str">
        <v>Normalized EBITDA</v>
      </c>
      <c r="B12">
        <v>-147600000</v>
      </c>
      <c r="C12">
        <v>-71000000</v>
      </c>
      <c r="D12">
        <v>184100000</v>
      </c>
      <c r="E12">
        <v>325800000</v>
      </c>
      <c r="F12">
        <v>0</v>
      </c>
    </row>
    <row r="13" spans="1:52">
      <c r="A13" t="str">
        <v>Total Unusual Items</v>
      </c>
      <c r="B13">
        <v>0</v>
      </c>
      <c r="C13">
        <v>-104400000</v>
      </c>
      <c r="D13">
        <v>-43200000</v>
      </c>
      <c r="E13">
        <v>0</v>
      </c>
      <c r="F13">
        <v>0</v>
      </c>
    </row>
    <row r="14" spans="1:52">
      <c r="A14" t="str">
        <v>Total Unusual Items Excluding Goodwill</v>
      </c>
      <c r="B14">
        <v>0</v>
      </c>
      <c r="C14">
        <v>-104400000</v>
      </c>
      <c r="D14">
        <v>-43200000</v>
      </c>
      <c r="E14">
        <v>0</v>
      </c>
      <c r="F14">
        <v>0</v>
      </c>
    </row>
    <row r="15" spans="1:52">
      <c r="A15" t="str">
        <v>Net Income From Continuing Operation Net Minority Interest</v>
      </c>
      <c r="B15">
        <v>-338700000</v>
      </c>
      <c r="C15">
        <v>-223100000</v>
      </c>
      <c r="D15">
        <v>-30800000</v>
      </c>
      <c r="E15">
        <v>128400000</v>
      </c>
      <c r="F15">
        <v>0</v>
      </c>
    </row>
    <row r="16" spans="1:52">
      <c r="A16" t="str">
        <v>Reconciled Depreciation</v>
      </c>
      <c r="B16">
        <v>172300000</v>
      </c>
      <c r="C16">
        <v>172500000</v>
      </c>
      <c r="D16">
        <v>149800000</v>
      </c>
      <c r="E16">
        <v>135500000</v>
      </c>
      <c r="F16">
        <v>0</v>
      </c>
    </row>
    <row r="17" spans="1:6">
      <c r="A17" t="str">
        <v>Reconciled Cost Of Revenue</v>
      </c>
      <c r="B17">
        <v>1743300000</v>
      </c>
      <c r="C17">
        <v>2090500000</v>
      </c>
      <c r="D17">
        <v>2219000000</v>
      </c>
      <c r="E17">
        <v>2134100000</v>
      </c>
      <c r="F17">
        <v>0</v>
      </c>
    </row>
    <row r="18" spans="1:6">
      <c r="A18" t="str">
        <v>EBITDA</v>
      </c>
      <c r="B18">
        <v>-147600000</v>
      </c>
      <c r="C18">
        <v>-71000000</v>
      </c>
      <c r="D18">
        <v>140900000</v>
      </c>
      <c r="E18">
        <v>325800000</v>
      </c>
      <c r="F18">
        <v>0</v>
      </c>
    </row>
    <row r="19" spans="1:6">
      <c r="A19" t="str">
        <v>EBIT</v>
      </c>
      <c r="B19">
        <v>-319900000</v>
      </c>
      <c r="C19">
        <v>-243500000</v>
      </c>
      <c r="D19">
        <v>-8900000</v>
      </c>
      <c r="E19">
        <v>190300000</v>
      </c>
      <c r="F19">
        <v>0</v>
      </c>
    </row>
    <row r="20" spans="1:6">
      <c r="A20" t="str">
        <v>Net Interest Income</v>
      </c>
      <c r="B20">
        <v>-47400000</v>
      </c>
      <c r="C20">
        <v>-48200000</v>
      </c>
      <c r="D20">
        <v>-22100000</v>
      </c>
      <c r="E20">
        <v>-13000000</v>
      </c>
      <c r="F20">
        <v>0</v>
      </c>
    </row>
    <row r="21" spans="1:6">
      <c r="A21" t="str">
        <v>Interest Expense</v>
      </c>
      <c r="B21">
        <v>59400000</v>
      </c>
      <c r="C21">
        <v>53200000</v>
      </c>
      <c r="D21">
        <v>23000000</v>
      </c>
      <c r="E21">
        <v>13200000</v>
      </c>
      <c r="F21">
        <v>0</v>
      </c>
    </row>
    <row r="22" spans="1:6">
      <c r="A22" t="str">
        <v>Interest Income</v>
      </c>
      <c r="B22">
        <v>12000000</v>
      </c>
      <c r="C22">
        <v>5000000</v>
      </c>
      <c r="D22">
        <v>900000</v>
      </c>
      <c r="E22">
        <v>200000</v>
      </c>
      <c r="F22">
        <v>0</v>
      </c>
    </row>
    <row r="23" spans="1:6">
      <c r="A23" t="str">
        <v>Normalized Income</v>
      </c>
      <c r="B23">
        <v>-338700000</v>
      </c>
      <c r="C23">
        <v>-223100000</v>
      </c>
      <c r="D23">
        <v>10931200</v>
      </c>
      <c r="E23">
        <v>128400000</v>
      </c>
      <c r="F23">
        <v>0</v>
      </c>
    </row>
    <row r="24" spans="1:6">
      <c r="A24" t="str">
        <v>Net Income From Continuing And Discontinued Operation</v>
      </c>
      <c r="B24">
        <v>-338700000</v>
      </c>
      <c r="C24">
        <v>-223100000</v>
      </c>
      <c r="D24">
        <v>-30800000</v>
      </c>
      <c r="E24">
        <v>128400000</v>
      </c>
      <c r="F24">
        <v>0</v>
      </c>
    </row>
    <row r="25" spans="1:6">
      <c r="A25" t="str">
        <v>Total Expenses</v>
      </c>
      <c r="B25">
        <v>3237700000</v>
      </c>
      <c r="C25">
        <v>3798000000</v>
      </c>
      <c r="D25">
        <v>3903100000</v>
      </c>
      <c r="E25">
        <v>3720400000</v>
      </c>
      <c r="F25">
        <v>0</v>
      </c>
    </row>
    <row r="26" spans="1:6">
      <c r="A26" t="str">
        <v>Rent Expense Supplemental</v>
      </c>
      <c r="B26">
        <v>0</v>
      </c>
      <c r="C26">
        <v>0</v>
      </c>
      <c r="D26">
        <v>900000</v>
      </c>
      <c r="E26">
        <v>600000</v>
      </c>
      <c r="F26">
        <v>2500000</v>
      </c>
    </row>
    <row r="27" spans="1:6">
      <c r="A27" t="str">
        <v>Total Operating Income As Reported</v>
      </c>
      <c r="B27">
        <v>-331900000</v>
      </c>
      <c r="C27">
        <v>-248500000</v>
      </c>
      <c r="D27">
        <v>-9800000</v>
      </c>
      <c r="E27">
        <v>190100000</v>
      </c>
      <c r="F27">
        <v>0</v>
      </c>
    </row>
    <row r="28" spans="1:6">
      <c r="A28" t="str">
        <v>Diluted Average Shares</v>
      </c>
      <c r="B28">
        <v>119085260</v>
      </c>
      <c r="C28">
        <v>104729376</v>
      </c>
      <c r="D28">
        <v>99696028</v>
      </c>
      <c r="E28">
        <v>106209306</v>
      </c>
      <c r="F28">
        <v>0</v>
      </c>
    </row>
    <row r="29" spans="1:6">
      <c r="A29" t="str">
        <v>Basic Average Shares</v>
      </c>
      <c r="B29">
        <v>119085260</v>
      </c>
      <c r="C29">
        <v>104729376</v>
      </c>
      <c r="D29">
        <v>99696028</v>
      </c>
      <c r="E29">
        <v>99590828</v>
      </c>
      <c r="F29">
        <v>0</v>
      </c>
    </row>
    <row r="30" spans="1:6">
      <c r="A30" t="str">
        <v>Diluted EPS</v>
      </c>
      <c r="B30">
        <v>-2.8439999999999999</v>
      </c>
      <c r="C30">
        <v>-2.13</v>
      </c>
      <c r="D30">
        <v>-0.309</v>
      </c>
      <c r="E30">
        <v>1.2549999999999999</v>
      </c>
      <c r="F30">
        <v>0</v>
      </c>
    </row>
    <row r="31" spans="1:6">
      <c r="A31" t="str">
        <v>Basic EPS</v>
      </c>
      <c r="B31">
        <v>-2.8439999999999999</v>
      </c>
      <c r="C31">
        <v>-2.13</v>
      </c>
      <c r="D31">
        <v>-0.309</v>
      </c>
      <c r="E31">
        <v>1.2889999999999999</v>
      </c>
      <c r="F31">
        <v>0</v>
      </c>
    </row>
    <row r="32" spans="1:6">
      <c r="A32" t="str">
        <v>Diluted NI Availto Com Stockholders</v>
      </c>
      <c r="B32">
        <v>-338700000</v>
      </c>
      <c r="C32">
        <v>-223100000</v>
      </c>
      <c r="D32">
        <v>-30800000</v>
      </c>
      <c r="E32">
        <v>128400000</v>
      </c>
      <c r="F32">
        <v>0</v>
      </c>
    </row>
    <row r="33" spans="1:6">
      <c r="A33" t="str">
        <v>Average Dilution Earnings</v>
      </c>
      <c r="B33">
        <v>0</v>
      </c>
      <c r="C33">
        <v>0</v>
      </c>
      <c r="D33">
        <v>0</v>
      </c>
      <c r="E33">
        <v>0</v>
      </c>
      <c r="F33">
        <v>0</v>
      </c>
    </row>
    <row r="34" spans="1:6">
      <c r="A34" t="str">
        <v>Net Income Common Stockholders</v>
      </c>
      <c r="B34">
        <v>-338700000</v>
      </c>
      <c r="C34">
        <v>-223100000</v>
      </c>
      <c r="D34">
        <v>-30800000</v>
      </c>
      <c r="E34">
        <v>128400000</v>
      </c>
      <c r="F34">
        <v>0</v>
      </c>
    </row>
    <row r="35" spans="1:6">
      <c r="A35" t="str">
        <v>Otherunder Preferred Stock Dividend</v>
      </c>
      <c r="B35">
        <v>0</v>
      </c>
      <c r="C35">
        <v>0</v>
      </c>
      <c r="D35">
        <v>0</v>
      </c>
      <c r="E35">
        <v>0</v>
      </c>
      <c r="F35">
        <v>0</v>
      </c>
    </row>
    <row r="36" spans="1:6">
      <c r="A36" t="str">
        <v>Net Income</v>
      </c>
      <c r="B36">
        <v>-338700000</v>
      </c>
      <c r="C36">
        <v>-223100000</v>
      </c>
      <c r="D36">
        <v>-30800000</v>
      </c>
      <c r="E36">
        <v>128400000</v>
      </c>
      <c r="F36">
        <v>0</v>
      </c>
    </row>
    <row r="37" spans="1:6">
      <c r="A37" t="str">
        <v>Minority Interests</v>
      </c>
      <c r="B37">
        <v>0</v>
      </c>
      <c r="C37">
        <v>0</v>
      </c>
      <c r="D37">
        <v>0</v>
      </c>
      <c r="E37">
        <v>0</v>
      </c>
      <c r="F37">
        <v>0</v>
      </c>
    </row>
    <row r="38" spans="1:6">
      <c r="A38" t="str">
        <v>Net Income Including Noncontrolling Interests</v>
      </c>
      <c r="B38">
        <v>-338700000</v>
      </c>
      <c r="C38">
        <v>-223100000</v>
      </c>
      <c r="D38">
        <v>-30800000</v>
      </c>
      <c r="E38">
        <v>128400000</v>
      </c>
      <c r="F38">
        <v>0</v>
      </c>
    </row>
    <row r="39" spans="1:6">
      <c r="A39" t="str">
        <v>Net Income Continuous Operations</v>
      </c>
      <c r="B39">
        <v>-338700000</v>
      </c>
      <c r="C39">
        <v>-223100000</v>
      </c>
      <c r="D39">
        <v>-30800000</v>
      </c>
      <c r="E39">
        <v>128400000</v>
      </c>
      <c r="F39">
        <v>0</v>
      </c>
    </row>
    <row r="40" spans="1:6">
      <c r="A40" t="str">
        <v>Tax Provision</v>
      </c>
      <c r="B40">
        <v>-40600000</v>
      </c>
      <c r="C40">
        <v>-73600000</v>
      </c>
      <c r="D40">
        <v>-1100000</v>
      </c>
      <c r="E40">
        <v>48700000</v>
      </c>
      <c r="F40">
        <v>0</v>
      </c>
    </row>
    <row r="41" spans="1:6">
      <c r="A41" t="str">
        <v>Pretax Income</v>
      </c>
      <c r="B41">
        <v>-379300000</v>
      </c>
      <c r="C41">
        <v>-296700000</v>
      </c>
      <c r="D41">
        <v>-31900000</v>
      </c>
      <c r="E41">
        <v>177100000</v>
      </c>
      <c r="F41">
        <v>0</v>
      </c>
    </row>
    <row r="42" spans="1:6">
      <c r="A42" t="str">
        <v>Special Income Charges</v>
      </c>
      <c r="B42">
        <v>0</v>
      </c>
      <c r="C42">
        <v>-104400000</v>
      </c>
      <c r="D42">
        <v>-43200000</v>
      </c>
      <c r="E42">
        <v>0</v>
      </c>
      <c r="F42">
        <v>0</v>
      </c>
    </row>
    <row r="43" spans="1:6">
      <c r="A43" t="str">
        <v>Other Special Charges</v>
      </c>
      <c r="B43">
        <v>0</v>
      </c>
      <c r="C43">
        <v>104400000</v>
      </c>
      <c r="D43">
        <v>25400000</v>
      </c>
      <c r="E43">
        <v>0</v>
      </c>
      <c r="F43">
        <v>0</v>
      </c>
    </row>
    <row r="44" spans="1:6">
      <c r="A44" t="str">
        <v>Impairment Of Capital Assets</v>
      </c>
      <c r="B44">
        <v>0</v>
      </c>
      <c r="C44">
        <v>0</v>
      </c>
      <c r="D44">
        <v>18500000</v>
      </c>
      <c r="E44">
        <v>0</v>
      </c>
      <c r="F44">
        <v>0</v>
      </c>
    </row>
    <row r="45" spans="1:6">
      <c r="A45" t="str">
        <v>Restructuring And Mergern Acquisition</v>
      </c>
      <c r="B45">
        <v>0</v>
      </c>
      <c r="C45">
        <v>0</v>
      </c>
      <c r="D45">
        <v>-700000</v>
      </c>
      <c r="E45">
        <v>0</v>
      </c>
      <c r="F45">
        <v>0</v>
      </c>
    </row>
    <row r="46" spans="1:6">
      <c r="A46" t="str">
        <v>Net Non Operating Interest Income Expense</v>
      </c>
      <c r="B46">
        <v>-47400000</v>
      </c>
      <c r="C46">
        <v>-48200000</v>
      </c>
      <c r="D46">
        <v>-22100000</v>
      </c>
      <c r="E46">
        <v>-13000000</v>
      </c>
      <c r="F46">
        <v>0</v>
      </c>
    </row>
    <row r="47" spans="1:6">
      <c r="A47" t="str">
        <v>Interest Expense Non Operating</v>
      </c>
      <c r="B47">
        <v>59400000</v>
      </c>
      <c r="C47">
        <v>53200000</v>
      </c>
      <c r="D47">
        <v>23000000</v>
      </c>
      <c r="E47">
        <v>13200000</v>
      </c>
      <c r="F47">
        <v>0</v>
      </c>
    </row>
    <row r="48" spans="1:6">
      <c r="A48" t="str">
        <v>Interest Income Non Operating</v>
      </c>
      <c r="B48">
        <v>12000000</v>
      </c>
      <c r="C48">
        <v>5000000</v>
      </c>
      <c r="D48">
        <v>900000</v>
      </c>
      <c r="E48">
        <v>200000</v>
      </c>
      <c r="F48">
        <v>0</v>
      </c>
    </row>
    <row r="49" spans="1:6">
      <c r="A49" t="str">
        <v>Operating Income</v>
      </c>
      <c r="B49">
        <v>-331900000</v>
      </c>
      <c r="C49">
        <v>-248500000</v>
      </c>
      <c r="D49">
        <v>33400000</v>
      </c>
      <c r="E49">
        <v>190100000</v>
      </c>
      <c r="F49">
        <v>0</v>
      </c>
    </row>
    <row r="50" spans="1:6">
      <c r="A50" t="str">
        <v>Operating Expense</v>
      </c>
      <c r="B50">
        <v>1494400000</v>
      </c>
      <c r="C50">
        <v>1707500000</v>
      </c>
      <c r="D50">
        <v>1684100000</v>
      </c>
      <c r="E50">
        <v>1586300000</v>
      </c>
      <c r="F50">
        <v>0</v>
      </c>
    </row>
    <row r="51" spans="1:6">
      <c r="A51" t="str">
        <v>Depreciation And Amortization In Income Statement</v>
      </c>
      <c r="B51">
        <v>0</v>
      </c>
      <c r="C51">
        <v>10700000</v>
      </c>
      <c r="D51">
        <v>10700000</v>
      </c>
      <c r="E51">
        <v>0</v>
      </c>
      <c r="F51">
        <v>0</v>
      </c>
    </row>
    <row r="52" spans="1:6">
      <c r="A52" t="str">
        <v>Amortization</v>
      </c>
      <c r="B52">
        <v>0</v>
      </c>
      <c r="C52">
        <v>10700000</v>
      </c>
      <c r="D52">
        <v>10700000</v>
      </c>
      <c r="E52">
        <v>0</v>
      </c>
      <c r="F52">
        <v>0</v>
      </c>
    </row>
    <row r="53" spans="1:6">
      <c r="A53" t="str">
        <v>Depreciation Income Statement</v>
      </c>
      <c r="B53">
        <v>0</v>
      </c>
      <c r="C53">
        <v>0</v>
      </c>
      <c r="D53">
        <v>0</v>
      </c>
      <c r="E53">
        <v>0</v>
      </c>
      <c r="F53">
        <v>0</v>
      </c>
    </row>
    <row r="54" spans="1:6">
      <c r="A54" t="str">
        <v>Selling General And Administration</v>
      </c>
      <c r="B54">
        <v>1496400000</v>
      </c>
      <c r="C54">
        <v>1709500000</v>
      </c>
      <c r="D54">
        <v>1694000000</v>
      </c>
      <c r="E54">
        <v>1586300000</v>
      </c>
      <c r="F54">
        <v>0</v>
      </c>
    </row>
    <row r="55" spans="1:6">
      <c r="A55" t="str">
        <v>Selling And Marketing Expense</v>
      </c>
      <c r="B55">
        <v>326100000</v>
      </c>
      <c r="C55">
        <v>429700000</v>
      </c>
      <c r="D55">
        <v>523700000</v>
      </c>
      <c r="E55">
        <v>509500000</v>
      </c>
      <c r="F55">
        <v>0</v>
      </c>
    </row>
    <row r="56" spans="1:6">
      <c r="A56" t="str">
        <v>General And Administrative Expense</v>
      </c>
      <c r="B56">
        <v>1170300000</v>
      </c>
      <c r="C56">
        <v>1279800000</v>
      </c>
      <c r="D56">
        <v>1170300000</v>
      </c>
      <c r="E56">
        <v>1076800000</v>
      </c>
      <c r="F56">
        <v>0</v>
      </c>
    </row>
    <row r="57" spans="1:6">
      <c r="A57" t="str">
        <v>Gross Profit</v>
      </c>
      <c r="B57">
        <v>1162500000</v>
      </c>
      <c r="C57">
        <v>1459000000</v>
      </c>
      <c r="D57">
        <v>1717500000</v>
      </c>
      <c r="E57">
        <v>1776400000</v>
      </c>
      <c r="F57">
        <v>0</v>
      </c>
    </row>
    <row r="58" spans="1:6">
      <c r="A58" t="str">
        <v>Cost Of Revenue</v>
      </c>
      <c r="B58">
        <v>1743300000</v>
      </c>
      <c r="C58">
        <v>2090500000</v>
      </c>
      <c r="D58">
        <v>2219000000</v>
      </c>
      <c r="E58">
        <v>2134100000</v>
      </c>
      <c r="F58">
        <v>0</v>
      </c>
    </row>
    <row r="59" spans="1:6">
      <c r="A59" t="str">
        <v>Total Revenue</v>
      </c>
      <c r="B59">
        <v>2905800000</v>
      </c>
      <c r="C59">
        <v>3549500000</v>
      </c>
      <c r="D59">
        <v>3936500000</v>
      </c>
      <c r="E59">
        <v>3910500000</v>
      </c>
      <c r="F59">
        <v>0</v>
      </c>
    </row>
    <row r="60" spans="1:6">
      <c r="A60" t="str">
        <v>Operating Revenue</v>
      </c>
      <c r="B60">
        <v>2905800000</v>
      </c>
      <c r="C60">
        <v>3549500000</v>
      </c>
      <c r="D60">
        <v>3936500000</v>
      </c>
      <c r="E60">
        <v>3910500000</v>
      </c>
      <c r="F60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53E00-453E-403A-9C56-4EF5B7DED73C}">
  <sheetPr codeName="Sheet8"/>
  <dimension ref="A1:E3"/>
  <sheetViews>
    <sheetView zoomScale="170" zoomScaleNormal="170" workbookViewId="0">
      <selection activeCell="A3" sqref="A3:E3"/>
    </sheetView>
  </sheetViews>
  <sheetFormatPr defaultRowHeight="14.5"/>
  <sheetData>
    <row r="1" spans="1:5">
      <c r="A1" t="s">
        <v>203</v>
      </c>
      <c r="B1">
        <v>2021</v>
      </c>
      <c r="C1">
        <v>2022</v>
      </c>
      <c r="D1">
        <v>2023</v>
      </c>
      <c r="E1">
        <v>2024</v>
      </c>
    </row>
    <row r="2" spans="1:5">
      <c r="A2" t="s">
        <v>204</v>
      </c>
      <c r="B2">
        <v>2500</v>
      </c>
      <c r="C2">
        <v>3000</v>
      </c>
      <c r="D2">
        <v>3500</v>
      </c>
      <c r="E2">
        <v>4000</v>
      </c>
    </row>
    <row r="3" spans="1:5">
      <c r="A3" t="s">
        <v>204</v>
      </c>
      <c r="B3">
        <v>2500</v>
      </c>
      <c r="C3">
        <v>3000</v>
      </c>
      <c r="D3">
        <v>3500</v>
      </c>
      <c r="E3">
        <v>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DB11-4A48-4A2C-9A5C-D002CC96173B}">
  <sheetPr codeName="Sheet9"/>
  <dimension ref="A1:L31"/>
  <sheetViews>
    <sheetView zoomScaleNormal="100" workbookViewId="0">
      <selection activeCell="A6" sqref="A6"/>
    </sheetView>
  </sheetViews>
  <sheetFormatPr defaultRowHeight="14.5"/>
  <cols>
    <col min="1" max="1" width="17.453125" customWidth="1"/>
    <col min="3" max="4" width="10.453125" bestFit="1" customWidth="1"/>
    <col min="5" max="5" width="15" bestFit="1" customWidth="1"/>
    <col min="6" max="6" width="14.453125" bestFit="1" customWidth="1"/>
    <col min="7" max="7" width="11.90625" bestFit="1" customWidth="1"/>
    <col min="9" max="9" width="11.90625" bestFit="1" customWidth="1"/>
  </cols>
  <sheetData>
    <row r="1" spans="1:12">
      <c r="B1" s="14" t="s">
        <v>205</v>
      </c>
      <c r="C1" s="14"/>
      <c r="D1" s="14"/>
      <c r="E1" s="14"/>
      <c r="F1" s="14" t="s">
        <v>214</v>
      </c>
      <c r="G1" s="14"/>
      <c r="H1" s="14"/>
      <c r="I1" s="14"/>
    </row>
    <row r="2" spans="1:12">
      <c r="A2" t="s">
        <v>203</v>
      </c>
      <c r="B2">
        <v>2021</v>
      </c>
      <c r="C2">
        <v>2021</v>
      </c>
      <c r="D2">
        <v>2023</v>
      </c>
      <c r="E2">
        <v>2024</v>
      </c>
      <c r="F2">
        <v>2025</v>
      </c>
      <c r="G2">
        <v>2026</v>
      </c>
      <c r="H2">
        <v>2027</v>
      </c>
      <c r="I2">
        <v>2028</v>
      </c>
    </row>
    <row r="3" spans="1:12">
      <c r="A3" t="s">
        <v>30</v>
      </c>
      <c r="B3">
        <f>'Cash Flow Statement'!E9</f>
        <v>58000000</v>
      </c>
      <c r="C3">
        <f>'Cash Flow Statement'!D9</f>
        <v>-303300000</v>
      </c>
      <c r="D3">
        <f>'Cash Flow Statement'!C9</f>
        <v>-161500000</v>
      </c>
      <c r="E3">
        <f>'Cash Flow Statement'!B9</f>
        <v>94500000</v>
      </c>
      <c r="F3">
        <v>97335000</v>
      </c>
      <c r="G3">
        <v>100255050</v>
      </c>
      <c r="H3">
        <v>103262701.5</v>
      </c>
      <c r="I3">
        <v>106360582.545</v>
      </c>
    </row>
    <row r="4" spans="1:12">
      <c r="A4" t="s">
        <v>206</v>
      </c>
      <c r="F4">
        <v>89991448.731152967</v>
      </c>
      <c r="G4">
        <v>83201940.152378187</v>
      </c>
      <c r="H4">
        <v>76924673.874302134</v>
      </c>
      <c r="I4">
        <v>71121003.186109036</v>
      </c>
    </row>
    <row r="5" spans="1:12">
      <c r="A5" t="s">
        <v>207</v>
      </c>
      <c r="I5">
        <v>1037267917.1634449</v>
      </c>
    </row>
    <row r="6" spans="1:12">
      <c r="A6" t="s">
        <v>8</v>
      </c>
      <c r="B6" s="2">
        <v>7.6780000000000001E-2</v>
      </c>
    </row>
    <row r="7" spans="1:12">
      <c r="A7" t="s">
        <v>208</v>
      </c>
      <c r="B7">
        <v>6.0754832770788587E-2</v>
      </c>
      <c r="E7" s="4"/>
      <c r="F7" s="3"/>
    </row>
    <row r="8" spans="1:12">
      <c r="A8" t="s">
        <v>213</v>
      </c>
      <c r="B8">
        <v>5.4254065664314212E-2</v>
      </c>
      <c r="D8" t="s">
        <v>219</v>
      </c>
      <c r="E8" t="s">
        <v>220</v>
      </c>
      <c r="F8" t="s">
        <v>221</v>
      </c>
      <c r="G8" t="s">
        <v>222</v>
      </c>
      <c r="I8" t="s">
        <v>18</v>
      </c>
      <c r="J8" t="s">
        <v>208</v>
      </c>
      <c r="K8" t="s">
        <v>226</v>
      </c>
      <c r="L8" t="s">
        <v>208</v>
      </c>
    </row>
    <row r="9" spans="1:12">
      <c r="A9" t="s">
        <v>215</v>
      </c>
      <c r="B9">
        <v>37543275000</v>
      </c>
      <c r="D9" t="s">
        <v>223</v>
      </c>
      <c r="E9" s="4">
        <v>-2.12E-2</v>
      </c>
      <c r="F9" s="4">
        <v>5.67E-2</v>
      </c>
      <c r="G9" s="4">
        <v>0.13469999999999999</v>
      </c>
    </row>
    <row r="10" spans="1:12">
      <c r="A10" t="s">
        <v>209</v>
      </c>
      <c r="B10">
        <v>38138075000</v>
      </c>
      <c r="D10" t="s">
        <v>224</v>
      </c>
      <c r="E10" s="4">
        <v>5.2728462257112807E-2</v>
      </c>
      <c r="F10" s="4">
        <v>7.6799999999999993E-2</v>
      </c>
      <c r="G10" s="4">
        <v>0.18809999999999999</v>
      </c>
      <c r="I10">
        <v>1.1100000000000001</v>
      </c>
      <c r="J10" s="4">
        <v>4.3299999999999998E-2</v>
      </c>
      <c r="K10" s="4">
        <v>3.5999999999999997E-2</v>
      </c>
      <c r="L10" s="4">
        <v>6.7900000000000002E-2</v>
      </c>
    </row>
    <row r="11" spans="1:12">
      <c r="A11" t="s">
        <v>210</v>
      </c>
      <c r="B11">
        <v>72.018559370803757</v>
      </c>
      <c r="D11" t="s">
        <v>225</v>
      </c>
      <c r="E11" s="4">
        <v>-4.7899999999999998E-2</v>
      </c>
      <c r="F11" s="4">
        <v>9.6799999999999997E-2</v>
      </c>
      <c r="G11" s="4">
        <v>0.24149999999999999</v>
      </c>
      <c r="I11">
        <v>1.56</v>
      </c>
      <c r="J11" s="4">
        <v>5.6800000000000003E-2</v>
      </c>
      <c r="K11" s="4">
        <v>3.7600000000000001E-2</v>
      </c>
      <c r="L11" s="4">
        <v>7.1400000000000005E-2</v>
      </c>
    </row>
    <row r="12" spans="1:12">
      <c r="A12" t="s">
        <v>211</v>
      </c>
      <c r="B12">
        <v>-258.38804200542006</v>
      </c>
      <c r="E12" s="4"/>
      <c r="F12" s="4"/>
      <c r="G12" s="4"/>
      <c r="I12">
        <v>2</v>
      </c>
      <c r="J12" s="4">
        <v>7.0000000000000007E-2</v>
      </c>
      <c r="K12" s="4">
        <v>3.9199999999999999E-2</v>
      </c>
      <c r="L12" s="4">
        <v>7.4999999999999997E-2</v>
      </c>
    </row>
    <row r="13" spans="1:12">
      <c r="A13" t="s">
        <v>212</v>
      </c>
      <c r="B13">
        <v>12.920116663225274</v>
      </c>
      <c r="D13" t="s">
        <v>227</v>
      </c>
      <c r="E13" s="4"/>
      <c r="F13" s="4"/>
      <c r="G13" s="4"/>
      <c r="I13">
        <v>2.4500000000000002</v>
      </c>
      <c r="J13" s="4">
        <v>8.3500000000000005E-2</v>
      </c>
      <c r="K13" s="4">
        <v>4.0800000000000003E-2</v>
      </c>
      <c r="L13" s="4">
        <v>7.8600000000000003E-2</v>
      </c>
    </row>
    <row r="14" spans="1:12">
      <c r="B14">
        <v>0.34776517678452301</v>
      </c>
      <c r="F14" t="s">
        <v>228</v>
      </c>
      <c r="G14" s="4">
        <v>0.1825</v>
      </c>
      <c r="I14">
        <v>2.89</v>
      </c>
      <c r="J14" s="4">
        <v>9.6699999999999994E-2</v>
      </c>
      <c r="K14" s="4">
        <v>4.24E-2</v>
      </c>
      <c r="L14" s="4">
        <v>8.2100000000000006E-2</v>
      </c>
    </row>
    <row r="15" spans="1:12">
      <c r="A15" t="s">
        <v>216</v>
      </c>
      <c r="B15">
        <v>0.65223482321547699</v>
      </c>
      <c r="F15" t="s">
        <v>229</v>
      </c>
      <c r="G15" t="s">
        <v>230</v>
      </c>
      <c r="I15">
        <v>3.34</v>
      </c>
      <c r="J15" s="4">
        <v>0.11020000000000001</v>
      </c>
      <c r="K15" s="4">
        <v>4.3999999999999997E-2</v>
      </c>
      <c r="L15" s="4">
        <v>8.5699999999999998E-2</v>
      </c>
    </row>
    <row r="16" spans="1:12">
      <c r="A16" t="s">
        <v>217</v>
      </c>
      <c r="B16">
        <v>6.0754832770788587E-2</v>
      </c>
    </row>
    <row r="17" spans="1:12">
      <c r="A17" t="s">
        <v>218</v>
      </c>
      <c r="B17">
        <v>4.8448880638232592E-2</v>
      </c>
      <c r="D17" t="s">
        <v>219</v>
      </c>
      <c r="E17" t="s">
        <v>231</v>
      </c>
      <c r="F17" t="s">
        <v>232</v>
      </c>
      <c r="G17" t="s">
        <v>233</v>
      </c>
      <c r="I17" t="s">
        <v>227</v>
      </c>
    </row>
    <row r="18" spans="1:12">
      <c r="B18">
        <v>5.2728462257112807E-2</v>
      </c>
      <c r="D18" t="s">
        <v>234</v>
      </c>
      <c r="E18" s="4">
        <v>4.58E-2</v>
      </c>
      <c r="F18" s="4">
        <v>4.3400000000000001E-2</v>
      </c>
      <c r="G18" s="4">
        <v>4.1000000000000002E-2</v>
      </c>
      <c r="K18" t="s">
        <v>228</v>
      </c>
      <c r="L18" s="4">
        <v>3.0599999999999999E-2</v>
      </c>
    </row>
    <row r="19" spans="1:12">
      <c r="D19" t="s">
        <v>221</v>
      </c>
      <c r="E19" s="4">
        <v>6.0199999999999997E-2</v>
      </c>
      <c r="F19" s="4">
        <v>5.7000000000000002E-2</v>
      </c>
      <c r="G19" s="4">
        <v>5.3800000000000001E-2</v>
      </c>
      <c r="K19" t="s">
        <v>229</v>
      </c>
      <c r="L19" t="s">
        <v>236</v>
      </c>
    </row>
    <row r="20" spans="1:12">
      <c r="D20" t="s">
        <v>235</v>
      </c>
      <c r="E20" s="4">
        <v>7.4499999999999997E-2</v>
      </c>
      <c r="F20" s="4">
        <v>7.0499999999999993E-2</v>
      </c>
      <c r="G20" s="4">
        <v>6.6600000000000006E-2</v>
      </c>
    </row>
    <row r="23" spans="1:12">
      <c r="D23" t="s">
        <v>237</v>
      </c>
      <c r="E23" t="s">
        <v>241</v>
      </c>
      <c r="F23" t="s">
        <v>242</v>
      </c>
      <c r="G23" t="s">
        <v>243</v>
      </c>
    </row>
    <row r="24" spans="1:12">
      <c r="D24" t="s">
        <v>238</v>
      </c>
      <c r="E24" t="s">
        <v>244</v>
      </c>
      <c r="F24" t="s">
        <v>245</v>
      </c>
      <c r="G24" t="s">
        <v>246</v>
      </c>
    </row>
    <row r="25" spans="1:12">
      <c r="D25" t="s">
        <v>239</v>
      </c>
      <c r="E25" t="s">
        <v>247</v>
      </c>
      <c r="F25" t="s">
        <v>248</v>
      </c>
      <c r="G25" t="s">
        <v>249</v>
      </c>
    </row>
    <row r="26" spans="1:12">
      <c r="D26" t="s">
        <v>240</v>
      </c>
      <c r="E26" t="s">
        <v>250</v>
      </c>
      <c r="F26" t="s">
        <v>251</v>
      </c>
      <c r="G26" t="s">
        <v>252</v>
      </c>
    </row>
    <row r="28" spans="1:12">
      <c r="D28" t="s">
        <v>253</v>
      </c>
      <c r="E28" t="s">
        <v>257</v>
      </c>
      <c r="F28" t="s">
        <v>258</v>
      </c>
      <c r="G28" t="s">
        <v>235</v>
      </c>
    </row>
    <row r="29" spans="1:12">
      <c r="D29" t="s">
        <v>254</v>
      </c>
      <c r="E29" s="4">
        <v>3.9899999999999998E-2</v>
      </c>
      <c r="F29" s="4">
        <v>4.58E-2</v>
      </c>
      <c r="G29" s="4">
        <v>5.45E-2</v>
      </c>
    </row>
    <row r="30" spans="1:12">
      <c r="D30" t="s">
        <v>255</v>
      </c>
      <c r="E30" s="4">
        <v>4.6899999999999997E-2</v>
      </c>
      <c r="F30" s="4">
        <v>5.2699999999999997E-2</v>
      </c>
      <c r="G30" s="4">
        <v>6.1499999999999999E-2</v>
      </c>
    </row>
    <row r="31" spans="1:12">
      <c r="D31" t="s">
        <v>256</v>
      </c>
      <c r="E31" s="4">
        <v>5.7299999999999997E-2</v>
      </c>
      <c r="F31" s="4">
        <v>6.3200000000000006E-2</v>
      </c>
      <c r="G31" s="4">
        <v>7.1900000000000006E-2</v>
      </c>
    </row>
  </sheetData>
  <sortState xmlns:xlrd2="http://schemas.microsoft.com/office/spreadsheetml/2017/richdata2" columnSort="1" ref="B1:E2">
    <sortCondition ref="B1:E1"/>
  </sortState>
  <mergeCells count="2">
    <mergeCell ref="B1:E1"/>
    <mergeCell ref="F1:I1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141DB-2417-4DC2-BF48-BA949B8990C7}">
  <sheetPr codeName="Sheet5"/>
  <dimension ref="A1:N356"/>
  <sheetViews>
    <sheetView workbookViewId="0">
      <selection activeCell="J18" sqref="J18"/>
    </sheetView>
  </sheetViews>
  <sheetFormatPr defaultRowHeight="14.5"/>
  <cols>
    <col min="1" max="1" width="10.6328125" bestFit="1" customWidth="1"/>
    <col min="4" max="4" width="12.6328125" bestFit="1" customWidth="1"/>
    <col min="6" max="7" width="11.90625" bestFit="1" customWidth="1"/>
    <col min="8" max="8" width="7.453125" bestFit="1" customWidth="1"/>
    <col min="13" max="13" width="20.90625" bestFit="1" customWidth="1"/>
    <col min="14" max="14" width="13.6328125" bestFit="1" customWidth="1"/>
  </cols>
  <sheetData>
    <row r="1" spans="1:14">
      <c r="A1" t="s">
        <v>259</v>
      </c>
      <c r="B1" t="s">
        <v>37</v>
      </c>
      <c r="C1" t="s">
        <v>260</v>
      </c>
      <c r="D1" t="s">
        <v>444</v>
      </c>
      <c r="E1" t="s">
        <v>442</v>
      </c>
      <c r="N1" s="7"/>
    </row>
    <row r="2" spans="1:14">
      <c r="A2" s="5">
        <v>44929</v>
      </c>
      <c r="B2">
        <v>532.5</v>
      </c>
      <c r="C2">
        <v>7554.10009765625</v>
      </c>
      <c r="D2" t="s">
        <v>443</v>
      </c>
      <c r="N2" s="8"/>
    </row>
    <row r="3" spans="1:14">
      <c r="A3" s="5">
        <v>44930</v>
      </c>
      <c r="B3">
        <v>570</v>
      </c>
      <c r="C3">
        <v>7585.2001953125</v>
      </c>
      <c r="D3">
        <v>6.8053463245015572E-2</v>
      </c>
      <c r="E3">
        <v>4.1085308834543765E-3</v>
      </c>
      <c r="N3" s="9"/>
    </row>
    <row r="4" spans="1:14">
      <c r="A4" s="5">
        <v>44931</v>
      </c>
      <c r="B4">
        <v>577</v>
      </c>
      <c r="C4">
        <v>7633.5</v>
      </c>
      <c r="D4">
        <v>1.2205905679503764E-2</v>
      </c>
      <c r="E4">
        <v>6.3474496815877791E-3</v>
      </c>
      <c r="N4" s="8"/>
    </row>
    <row r="5" spans="1:14">
      <c r="A5" s="5">
        <v>44932</v>
      </c>
      <c r="B5">
        <v>587</v>
      </c>
      <c r="C5">
        <v>7699.5</v>
      </c>
      <c r="D5">
        <v>1.7182553319996963E-2</v>
      </c>
      <c r="E5">
        <v>8.6089359714704352E-3</v>
      </c>
    </row>
    <row r="6" spans="1:14" ht="15.5">
      <c r="A6" s="5">
        <v>44935</v>
      </c>
      <c r="B6">
        <v>594</v>
      </c>
      <c r="C6">
        <v>7724.89990234375</v>
      </c>
      <c r="D6">
        <v>1.1854499534548379E-2</v>
      </c>
      <c r="E6">
        <v>3.2934733881234491E-3</v>
      </c>
      <c r="N6" s="10"/>
    </row>
    <row r="7" spans="1:14">
      <c r="A7" s="5">
        <v>44936</v>
      </c>
      <c r="B7">
        <v>578.5</v>
      </c>
      <c r="C7">
        <v>7694.5</v>
      </c>
      <c r="D7">
        <v>-2.6440772728913625E-2</v>
      </c>
      <c r="E7">
        <v>-3.9430771526844984E-3</v>
      </c>
      <c r="N7" s="8"/>
    </row>
    <row r="8" spans="1:14">
      <c r="A8" s="5">
        <v>44937</v>
      </c>
      <c r="B8">
        <v>586</v>
      </c>
      <c r="C8">
        <v>7725</v>
      </c>
      <c r="D8">
        <v>1.2881242943281399E-2</v>
      </c>
      <c r="E8">
        <v>3.9560348620397579E-3</v>
      </c>
      <c r="N8" s="8"/>
    </row>
    <row r="9" spans="1:14">
      <c r="A9" s="5">
        <v>44938</v>
      </c>
      <c r="B9">
        <v>708.5</v>
      </c>
      <c r="C9">
        <v>7794</v>
      </c>
      <c r="D9">
        <v>0.18983026955372256</v>
      </c>
      <c r="E9">
        <v>8.8923841327082885E-3</v>
      </c>
      <c r="N9" s="8"/>
    </row>
    <row r="10" spans="1:14">
      <c r="A10" s="5">
        <v>44939</v>
      </c>
      <c r="B10">
        <v>745</v>
      </c>
      <c r="C10">
        <v>7844.10009765625</v>
      </c>
      <c r="D10">
        <v>5.0234159248824337E-2</v>
      </c>
      <c r="E10">
        <v>6.4074623836176481E-3</v>
      </c>
    </row>
    <row r="11" spans="1:14" ht="15.5">
      <c r="A11" s="5">
        <v>44942</v>
      </c>
      <c r="B11">
        <v>783.5</v>
      </c>
      <c r="C11">
        <v>7860.10009765625</v>
      </c>
      <c r="D11">
        <v>5.0386843416516072E-2</v>
      </c>
      <c r="E11">
        <v>2.0376721306595695E-3</v>
      </c>
      <c r="N11" s="10"/>
    </row>
    <row r="12" spans="1:14">
      <c r="A12" s="5">
        <v>44943</v>
      </c>
      <c r="B12">
        <v>739</v>
      </c>
      <c r="C12">
        <v>7851</v>
      </c>
      <c r="D12">
        <v>-5.8473140847873716E-2</v>
      </c>
      <c r="E12">
        <v>-1.1584292146761225E-3</v>
      </c>
      <c r="N12" s="8"/>
    </row>
    <row r="13" spans="1:14">
      <c r="A13" s="5">
        <v>44944</v>
      </c>
      <c r="B13">
        <v>760.5</v>
      </c>
      <c r="C13">
        <v>7830.7001953125</v>
      </c>
      <c r="D13">
        <v>2.8678190751145725E-2</v>
      </c>
      <c r="E13">
        <v>-2.5889815228585192E-3</v>
      </c>
      <c r="N13" s="9"/>
    </row>
    <row r="14" spans="1:14">
      <c r="A14" s="5">
        <v>44945</v>
      </c>
      <c r="B14">
        <v>700</v>
      </c>
      <c r="C14">
        <v>7747.2998046875</v>
      </c>
      <c r="D14">
        <v>-8.2895776655942874E-2</v>
      </c>
      <c r="E14">
        <v>-1.0707560336057926E-2</v>
      </c>
      <c r="N14" s="8"/>
    </row>
    <row r="15" spans="1:14">
      <c r="A15" s="5">
        <v>44946</v>
      </c>
      <c r="B15">
        <v>778</v>
      </c>
      <c r="C15">
        <v>7770.60009765625</v>
      </c>
      <c r="D15">
        <v>0.10564618913498693</v>
      </c>
      <c r="E15">
        <v>3.0030236856589958E-3</v>
      </c>
    </row>
    <row r="16" spans="1:14">
      <c r="A16" s="5">
        <v>44949</v>
      </c>
      <c r="B16">
        <v>743.5</v>
      </c>
      <c r="C16">
        <v>7784.7001953125</v>
      </c>
      <c r="D16">
        <v>-4.5357758278181802E-2</v>
      </c>
      <c r="E16">
        <v>1.8128999443891333E-3</v>
      </c>
    </row>
    <row r="17" spans="1:14">
      <c r="A17" s="5">
        <v>44950</v>
      </c>
      <c r="B17">
        <v>768.5</v>
      </c>
      <c r="C17">
        <v>7757.39990234375</v>
      </c>
      <c r="D17">
        <v>3.3071797078440796E-2</v>
      </c>
      <c r="E17">
        <v>-3.5130800696105964E-3</v>
      </c>
      <c r="M17" s="11"/>
      <c r="N17" s="11"/>
    </row>
    <row r="18" spans="1:14">
      <c r="A18" s="5">
        <v>44951</v>
      </c>
      <c r="B18">
        <v>778</v>
      </c>
      <c r="C18">
        <v>7744.89990234375</v>
      </c>
      <c r="D18">
        <v>1.2285961199740979E-2</v>
      </c>
      <c r="E18">
        <v>-1.6126642971088199E-3</v>
      </c>
      <c r="M18" s="12"/>
      <c r="N18" s="13"/>
    </row>
    <row r="19" spans="1:14">
      <c r="A19" s="5">
        <v>44952</v>
      </c>
      <c r="B19">
        <v>800</v>
      </c>
      <c r="C19">
        <v>7761.10009765625</v>
      </c>
      <c r="D19">
        <v>2.7885203489535642E-2</v>
      </c>
      <c r="E19">
        <v>2.0895396887537243E-3</v>
      </c>
      <c r="M19" s="12"/>
      <c r="N19" s="13"/>
    </row>
    <row r="20" spans="1:14">
      <c r="A20" s="5">
        <v>44953</v>
      </c>
      <c r="B20">
        <v>810.5</v>
      </c>
      <c r="C20">
        <v>7765.2001953125</v>
      </c>
      <c r="D20">
        <v>1.3039613507803549E-2</v>
      </c>
      <c r="E20">
        <v>5.281487120810972E-4</v>
      </c>
      <c r="M20" s="12"/>
      <c r="N20" s="13"/>
    </row>
    <row r="21" spans="1:14">
      <c r="A21" s="5">
        <v>44956</v>
      </c>
      <c r="B21">
        <v>875</v>
      </c>
      <c r="C21">
        <v>7784.89990234375</v>
      </c>
      <c r="D21">
        <v>7.6572545181883597E-2</v>
      </c>
      <c r="E21">
        <v>2.5337094226218042E-3</v>
      </c>
      <c r="M21" s="12"/>
      <c r="N21" s="13"/>
    </row>
    <row r="22" spans="1:14">
      <c r="A22" s="5">
        <v>44957</v>
      </c>
      <c r="B22">
        <v>872.5</v>
      </c>
      <c r="C22">
        <v>7771.7001953125</v>
      </c>
      <c r="D22">
        <v>-2.8612322810322348E-3</v>
      </c>
      <c r="E22">
        <v>-1.6969916454852136E-3</v>
      </c>
      <c r="M22" s="12"/>
      <c r="N22" s="13"/>
    </row>
    <row r="23" spans="1:14">
      <c r="A23" s="5">
        <v>44958</v>
      </c>
      <c r="B23">
        <v>891.5</v>
      </c>
      <c r="C23">
        <v>7761.10009765625</v>
      </c>
      <c r="D23">
        <v>2.154278322661287E-2</v>
      </c>
      <c r="E23">
        <v>-1.3648664892176776E-3</v>
      </c>
    </row>
    <row r="24" spans="1:14">
      <c r="A24" s="5">
        <v>44959</v>
      </c>
      <c r="B24">
        <v>982</v>
      </c>
      <c r="C24">
        <v>7820.2001953125</v>
      </c>
      <c r="D24">
        <v>9.6685871051270883E-2</v>
      </c>
      <c r="E24">
        <v>7.5860653438435616E-3</v>
      </c>
    </row>
    <row r="25" spans="1:14">
      <c r="A25" s="5">
        <v>44960</v>
      </c>
      <c r="B25">
        <v>963</v>
      </c>
      <c r="C25">
        <v>7901.7998046875</v>
      </c>
      <c r="D25">
        <v>-1.9537896556340362E-2</v>
      </c>
      <c r="E25">
        <v>1.03804022502076E-2</v>
      </c>
      <c r="M25" s="12"/>
    </row>
    <row r="26" spans="1:14">
      <c r="A26" s="5">
        <v>44963</v>
      </c>
      <c r="B26">
        <v>915</v>
      </c>
      <c r="C26">
        <v>7836.7001953125</v>
      </c>
      <c r="D26">
        <v>-5.1129346522604244E-2</v>
      </c>
      <c r="E26">
        <v>-8.2727045965693066E-3</v>
      </c>
      <c r="M26" s="12"/>
    </row>
    <row r="27" spans="1:14">
      <c r="A27" s="5">
        <v>44964</v>
      </c>
      <c r="B27">
        <v>913.5</v>
      </c>
      <c r="C27">
        <v>7864.7001953125</v>
      </c>
      <c r="D27">
        <v>-1.6406894574598886E-3</v>
      </c>
      <c r="E27">
        <v>3.5665646355476487E-3</v>
      </c>
    </row>
    <row r="28" spans="1:14">
      <c r="A28" s="5">
        <v>44965</v>
      </c>
      <c r="B28">
        <v>900</v>
      </c>
      <c r="C28">
        <v>7885.2001953125</v>
      </c>
      <c r="D28">
        <v>-1.4888612493750637E-2</v>
      </c>
      <c r="E28">
        <v>2.6031925368762668E-3</v>
      </c>
    </row>
    <row r="29" spans="1:14">
      <c r="A29" s="5">
        <v>44966</v>
      </c>
      <c r="B29">
        <v>905</v>
      </c>
      <c r="C29">
        <v>7911.2001953125</v>
      </c>
      <c r="D29">
        <v>5.5401803756153509E-3</v>
      </c>
      <c r="E29">
        <v>3.291892182554052E-3</v>
      </c>
    </row>
    <row r="30" spans="1:14">
      <c r="A30" s="5">
        <v>44967</v>
      </c>
      <c r="B30">
        <v>824</v>
      </c>
      <c r="C30">
        <v>7882.5</v>
      </c>
      <c r="D30">
        <v>-9.3764413790454443E-2</v>
      </c>
      <c r="E30">
        <v>-3.6343892246652426E-3</v>
      </c>
    </row>
    <row r="31" spans="1:14">
      <c r="A31" s="5">
        <v>44970</v>
      </c>
      <c r="B31">
        <v>825</v>
      </c>
      <c r="C31">
        <v>7947.60009765625</v>
      </c>
      <c r="D31">
        <v>1.2128564252092296E-3</v>
      </c>
      <c r="E31">
        <v>8.2248961472326347E-3</v>
      </c>
    </row>
    <row r="32" spans="1:14">
      <c r="A32" s="5">
        <v>44971</v>
      </c>
      <c r="B32">
        <v>818</v>
      </c>
      <c r="C32">
        <v>7953.89990234375</v>
      </c>
      <c r="D32">
        <v>-8.5210497319339849E-3</v>
      </c>
      <c r="E32">
        <v>7.9235355370208655E-4</v>
      </c>
    </row>
    <row r="33" spans="1:5">
      <c r="A33" s="5">
        <v>44972</v>
      </c>
      <c r="B33">
        <v>830.5</v>
      </c>
      <c r="C33">
        <v>7997.7998046875</v>
      </c>
      <c r="D33">
        <v>1.5165592450602536E-2</v>
      </c>
      <c r="E33">
        <v>5.5041173016100418E-3</v>
      </c>
    </row>
    <row r="34" spans="1:5">
      <c r="A34" s="5">
        <v>44973</v>
      </c>
      <c r="B34">
        <v>825</v>
      </c>
      <c r="C34">
        <v>8012.5</v>
      </c>
      <c r="D34">
        <v>-6.6445427186686131E-3</v>
      </c>
      <c r="E34">
        <v>1.8363428071646558E-3</v>
      </c>
    </row>
    <row r="35" spans="1:5">
      <c r="A35" s="5">
        <v>44974</v>
      </c>
      <c r="B35">
        <v>834</v>
      </c>
      <c r="C35">
        <v>8004.39990234375</v>
      </c>
      <c r="D35">
        <v>1.0850016024065844E-2</v>
      </c>
      <c r="E35">
        <v>-1.0114439618381936E-3</v>
      </c>
    </row>
    <row r="36" spans="1:5">
      <c r="A36" s="5">
        <v>44977</v>
      </c>
      <c r="B36">
        <v>828</v>
      </c>
      <c r="C36">
        <v>8014.2998046875</v>
      </c>
      <c r="D36">
        <v>-7.2202479734870201E-3</v>
      </c>
      <c r="E36">
        <v>1.2360433474922184E-3</v>
      </c>
    </row>
    <row r="37" spans="1:5">
      <c r="A37" s="5">
        <v>44978</v>
      </c>
      <c r="B37">
        <v>818</v>
      </c>
      <c r="C37">
        <v>7977.7998046875</v>
      </c>
      <c r="D37">
        <v>-1.2150817782512691E-2</v>
      </c>
      <c r="E37">
        <v>-4.5647618850428685E-3</v>
      </c>
    </row>
    <row r="38" spans="1:5">
      <c r="A38" s="5">
        <v>44979</v>
      </c>
      <c r="B38">
        <v>810</v>
      </c>
      <c r="C38">
        <v>7930.60009765625</v>
      </c>
      <c r="D38">
        <v>-9.8280889362626512E-3</v>
      </c>
      <c r="E38">
        <v>-5.9339526061419276E-3</v>
      </c>
    </row>
    <row r="39" spans="1:5">
      <c r="A39" s="5">
        <v>44980</v>
      </c>
      <c r="B39">
        <v>840</v>
      </c>
      <c r="C39">
        <v>7907.7001953125</v>
      </c>
      <c r="D39">
        <v>3.6367644170874791E-2</v>
      </c>
      <c r="E39">
        <v>-2.8917141205296146E-3</v>
      </c>
    </row>
    <row r="40" spans="1:5">
      <c r="A40" s="5">
        <v>44981</v>
      </c>
      <c r="B40">
        <v>822</v>
      </c>
      <c r="C40">
        <v>7878.7001953125</v>
      </c>
      <c r="D40">
        <v>-2.1661496781179419E-2</v>
      </c>
      <c r="E40">
        <v>-3.6740525900993376E-3</v>
      </c>
    </row>
    <row r="41" spans="1:5">
      <c r="A41" s="5">
        <v>44984</v>
      </c>
      <c r="B41">
        <v>854.5</v>
      </c>
      <c r="C41">
        <v>7935.10009765625</v>
      </c>
      <c r="D41">
        <v>3.8776107499465647E-2</v>
      </c>
      <c r="E41">
        <v>7.1330281696598734E-3</v>
      </c>
    </row>
    <row r="42" spans="1:5">
      <c r="A42" s="5">
        <v>44985</v>
      </c>
      <c r="B42">
        <v>875</v>
      </c>
      <c r="C42">
        <v>7876.2998046875</v>
      </c>
      <c r="D42">
        <v>2.3707383801968743E-2</v>
      </c>
      <c r="E42">
        <v>-7.4377429451054373E-3</v>
      </c>
    </row>
    <row r="43" spans="1:5">
      <c r="A43" s="5">
        <v>44986</v>
      </c>
      <c r="B43">
        <v>855</v>
      </c>
      <c r="C43">
        <v>7914.89990234375</v>
      </c>
      <c r="D43">
        <v>-2.3122417420854264E-2</v>
      </c>
      <c r="E43">
        <v>4.8888210209129448E-3</v>
      </c>
    </row>
    <row r="44" spans="1:5">
      <c r="A44" s="5">
        <v>44987</v>
      </c>
      <c r="B44">
        <v>871.5</v>
      </c>
      <c r="C44">
        <v>7944</v>
      </c>
      <c r="D44">
        <v>1.9114396023315453E-2</v>
      </c>
      <c r="E44">
        <v>3.6698800667755906E-3</v>
      </c>
    </row>
    <row r="45" spans="1:5">
      <c r="A45" s="5">
        <v>44988</v>
      </c>
      <c r="B45">
        <v>925</v>
      </c>
      <c r="C45">
        <v>7947.10009765625</v>
      </c>
      <c r="D45">
        <v>5.9577872552349642E-2</v>
      </c>
      <c r="E45">
        <v>3.9016778908027055E-4</v>
      </c>
    </row>
    <row r="46" spans="1:5">
      <c r="A46" s="5">
        <v>44991</v>
      </c>
      <c r="B46">
        <v>941.5</v>
      </c>
      <c r="C46">
        <v>7929.7998046875</v>
      </c>
      <c r="D46">
        <v>1.7680610584781948E-2</v>
      </c>
      <c r="E46">
        <v>-2.1793045143929796E-3</v>
      </c>
    </row>
    <row r="47" spans="1:5">
      <c r="A47" s="5">
        <v>44992</v>
      </c>
      <c r="B47">
        <v>933.5</v>
      </c>
      <c r="C47">
        <v>7919.5</v>
      </c>
      <c r="D47">
        <v>-8.533385115429809E-3</v>
      </c>
      <c r="E47">
        <v>-1.2997174972208484E-3</v>
      </c>
    </row>
    <row r="48" spans="1:5">
      <c r="A48" s="5">
        <v>44993</v>
      </c>
      <c r="B48">
        <v>931</v>
      </c>
      <c r="C48">
        <v>7929.89990234375</v>
      </c>
      <c r="D48">
        <v>-2.6816857047101839E-3</v>
      </c>
      <c r="E48">
        <v>1.3123403914873804E-3</v>
      </c>
    </row>
    <row r="49" spans="1:5">
      <c r="A49" s="5">
        <v>44994</v>
      </c>
      <c r="B49">
        <v>909</v>
      </c>
      <c r="C49">
        <v>7880</v>
      </c>
      <c r="D49">
        <v>-2.3914183099588253E-2</v>
      </c>
      <c r="E49">
        <v>-6.3125090420376338E-3</v>
      </c>
    </row>
    <row r="50" spans="1:5">
      <c r="A50" s="5">
        <v>44995</v>
      </c>
      <c r="B50">
        <v>830.5</v>
      </c>
      <c r="C50">
        <v>7748.39990234375</v>
      </c>
      <c r="D50">
        <v>-9.0317165124129295E-2</v>
      </c>
      <c r="E50">
        <v>-1.6841546034911677E-2</v>
      </c>
    </row>
    <row r="51" spans="1:5">
      <c r="A51" s="5">
        <v>44998</v>
      </c>
      <c r="B51">
        <v>822.5</v>
      </c>
      <c r="C51">
        <v>7548.60009765625</v>
      </c>
      <c r="D51">
        <v>-9.6794464138225643E-3</v>
      </c>
      <c r="E51">
        <v>-2.6124229294871359E-2</v>
      </c>
    </row>
    <row r="52" spans="1:5">
      <c r="A52" s="5">
        <v>44999</v>
      </c>
      <c r="B52">
        <v>848</v>
      </c>
      <c r="C52">
        <v>7637.10009765625</v>
      </c>
      <c r="D52">
        <v>3.053215315237608E-2</v>
      </c>
      <c r="E52">
        <v>1.1655834214516462E-2</v>
      </c>
    </row>
    <row r="53" spans="1:5">
      <c r="A53" s="5">
        <v>45000</v>
      </c>
      <c r="B53">
        <v>784.5</v>
      </c>
      <c r="C53">
        <v>7344.5</v>
      </c>
      <c r="D53">
        <v>-7.7834063618815799E-2</v>
      </c>
      <c r="E53">
        <v>-3.9066228965188583E-2</v>
      </c>
    </row>
    <row r="54" spans="1:5">
      <c r="A54" s="5">
        <v>45001</v>
      </c>
      <c r="B54">
        <v>797</v>
      </c>
      <c r="C54">
        <v>7410</v>
      </c>
      <c r="D54">
        <v>1.5808106617127837E-2</v>
      </c>
      <c r="E54">
        <v>8.8787055186631044E-3</v>
      </c>
    </row>
    <row r="55" spans="1:5">
      <c r="A55" s="5">
        <v>45002</v>
      </c>
      <c r="B55">
        <v>737.5</v>
      </c>
      <c r="C55">
        <v>7335.39990234375</v>
      </c>
      <c r="D55">
        <v>-7.758859057624011E-2</v>
      </c>
      <c r="E55">
        <v>-1.01185094522654E-2</v>
      </c>
    </row>
    <row r="56" spans="1:5">
      <c r="A56" s="5">
        <v>45005</v>
      </c>
      <c r="B56">
        <v>722</v>
      </c>
      <c r="C56">
        <v>7403.89990234375</v>
      </c>
      <c r="D56">
        <v>-2.1240949321148662E-2</v>
      </c>
      <c r="E56">
        <v>9.2949453616140883E-3</v>
      </c>
    </row>
    <row r="57" spans="1:5">
      <c r="A57" s="5">
        <v>45006</v>
      </c>
      <c r="B57">
        <v>760</v>
      </c>
      <c r="C57">
        <v>7536.2001953125</v>
      </c>
      <c r="D57">
        <v>5.1293294387550481E-2</v>
      </c>
      <c r="E57">
        <v>1.7711226899264531E-2</v>
      </c>
    </row>
    <row r="58" spans="1:5">
      <c r="A58" s="5">
        <v>45007</v>
      </c>
      <c r="B58">
        <v>777</v>
      </c>
      <c r="C58">
        <v>7566.7998046875</v>
      </c>
      <c r="D58">
        <v>2.2121917087270692E-2</v>
      </c>
      <c r="E58">
        <v>4.0521288809922786E-3</v>
      </c>
    </row>
    <row r="59" spans="1:5">
      <c r="A59" s="5">
        <v>45008</v>
      </c>
      <c r="B59">
        <v>771</v>
      </c>
      <c r="C59">
        <v>7499.60009765625</v>
      </c>
      <c r="D59">
        <v>-7.7519768043179359E-3</v>
      </c>
      <c r="E59">
        <v>-8.9205321894146351E-3</v>
      </c>
    </row>
    <row r="60" spans="1:5">
      <c r="A60" s="5">
        <v>45009</v>
      </c>
      <c r="B60">
        <v>745.5</v>
      </c>
      <c r="C60">
        <v>7405.5</v>
      </c>
      <c r="D60">
        <v>-3.3633239358536376E-2</v>
      </c>
      <c r="E60">
        <v>-1.2626731423296119E-2</v>
      </c>
    </row>
    <row r="61" spans="1:5">
      <c r="A61" s="5">
        <v>45012</v>
      </c>
      <c r="B61">
        <v>723.5</v>
      </c>
      <c r="C61">
        <v>7471.7998046875</v>
      </c>
      <c r="D61">
        <v>-2.9954588133254603E-2</v>
      </c>
      <c r="E61">
        <v>8.9129404481771944E-3</v>
      </c>
    </row>
    <row r="62" spans="1:5">
      <c r="A62" s="5">
        <v>45013</v>
      </c>
      <c r="B62">
        <v>719</v>
      </c>
      <c r="C62">
        <v>7484.2998046875</v>
      </c>
      <c r="D62">
        <v>-6.2391883504918167E-3</v>
      </c>
      <c r="E62">
        <v>1.6715591948446833E-3</v>
      </c>
    </row>
    <row r="63" spans="1:5">
      <c r="A63" s="5">
        <v>45014</v>
      </c>
      <c r="B63">
        <v>744</v>
      </c>
      <c r="C63">
        <v>7564.2998046875</v>
      </c>
      <c r="D63">
        <v>3.4179677112045177E-2</v>
      </c>
      <c r="E63">
        <v>1.0632318716232374E-2</v>
      </c>
    </row>
    <row r="64" spans="1:5">
      <c r="A64" s="5">
        <v>45015</v>
      </c>
      <c r="B64">
        <v>806.5</v>
      </c>
      <c r="C64">
        <v>7620.39990234375</v>
      </c>
      <c r="D64">
        <v>8.0662862732171672E-2</v>
      </c>
      <c r="E64">
        <v>7.3890631998902254E-3</v>
      </c>
    </row>
    <row r="65" spans="1:5">
      <c r="A65" s="5">
        <v>45016</v>
      </c>
      <c r="B65">
        <v>820.5</v>
      </c>
      <c r="C65">
        <v>7631.7001953125</v>
      </c>
      <c r="D65">
        <v>1.7210012964882032E-2</v>
      </c>
      <c r="E65">
        <v>1.4818018455297825E-3</v>
      </c>
    </row>
    <row r="66" spans="1:5">
      <c r="A66" s="5">
        <v>45019</v>
      </c>
      <c r="B66" s="6" t="s">
        <v>261</v>
      </c>
      <c r="C66">
        <v>7673</v>
      </c>
      <c r="D66">
        <v>-1.6838119580271479E-2</v>
      </c>
      <c r="E66">
        <v>5.3970224059639478E-3</v>
      </c>
    </row>
    <row r="67" spans="1:5">
      <c r="A67" s="5">
        <v>45020</v>
      </c>
      <c r="B67" s="6" t="s">
        <v>262</v>
      </c>
      <c r="C67">
        <v>7634.5</v>
      </c>
      <c r="D67">
        <v>-2.9432338553907589E-2</v>
      </c>
      <c r="E67">
        <v>-5.0302245540988725E-3</v>
      </c>
    </row>
    <row r="68" spans="1:5">
      <c r="A68" s="5">
        <v>45021</v>
      </c>
      <c r="B68">
        <v>760</v>
      </c>
      <c r="C68">
        <v>7662.89990234375</v>
      </c>
      <c r="D68">
        <v>-3.0325019115589751E-2</v>
      </c>
      <c r="E68">
        <v>3.7130407982255247E-3</v>
      </c>
    </row>
    <row r="69" spans="1:5">
      <c r="A69" s="5">
        <v>45022</v>
      </c>
      <c r="B69" s="6" t="s">
        <v>263</v>
      </c>
      <c r="C69">
        <v>7741.60009765625</v>
      </c>
      <c r="D69">
        <v>-7.1306581038147951E-3</v>
      </c>
      <c r="E69">
        <v>1.0217907759419696E-2</v>
      </c>
    </row>
    <row r="70" spans="1:5">
      <c r="A70" s="5">
        <v>45027</v>
      </c>
      <c r="B70" s="6" t="s">
        <v>264</v>
      </c>
      <c r="C70">
        <v>7785.7001953125</v>
      </c>
      <c r="D70">
        <v>6.6041716208858512E-3</v>
      </c>
      <c r="E70">
        <v>5.6803456367967922E-3</v>
      </c>
    </row>
    <row r="71" spans="1:5">
      <c r="A71" s="5">
        <v>45028</v>
      </c>
      <c r="B71" s="6" t="s">
        <v>265</v>
      </c>
      <c r="C71">
        <v>7824.7998046875</v>
      </c>
      <c r="D71">
        <v>-4.4966471007750475E-2</v>
      </c>
      <c r="E71">
        <v>5.0094091975726313E-3</v>
      </c>
    </row>
    <row r="72" spans="1:5">
      <c r="A72" s="5">
        <v>45029</v>
      </c>
      <c r="B72" s="6" t="s">
        <v>266</v>
      </c>
      <c r="C72">
        <v>7843.39990234375</v>
      </c>
      <c r="D72">
        <v>-3.3322398710729242E-2</v>
      </c>
      <c r="E72">
        <v>2.3742493383450748E-3</v>
      </c>
    </row>
    <row r="73" spans="1:5">
      <c r="A73" s="5">
        <v>45030</v>
      </c>
      <c r="B73" s="6" t="s">
        <v>267</v>
      </c>
      <c r="C73">
        <v>7871.89990234375</v>
      </c>
      <c r="D73">
        <v>-1.4247045652739138E-3</v>
      </c>
      <c r="E73">
        <v>3.6270426397665909E-3</v>
      </c>
    </row>
    <row r="74" spans="1:5">
      <c r="A74" s="5">
        <v>45033</v>
      </c>
      <c r="B74" s="6" t="s">
        <v>268</v>
      </c>
      <c r="C74">
        <v>7879.5</v>
      </c>
      <c r="D74">
        <v>5.5731608817154568E-2</v>
      </c>
      <c r="E74">
        <v>9.6500606843329681E-4</v>
      </c>
    </row>
    <row r="75" spans="1:5">
      <c r="A75" s="5">
        <v>45034</v>
      </c>
      <c r="B75" s="6" t="s">
        <v>269</v>
      </c>
      <c r="C75">
        <v>7909.39990234375</v>
      </c>
      <c r="D75">
        <v>-3.4571277065478252E-2</v>
      </c>
      <c r="E75">
        <v>3.7874631255136529E-3</v>
      </c>
    </row>
    <row r="76" spans="1:5">
      <c r="A76" s="5">
        <v>45035</v>
      </c>
      <c r="B76">
        <v>742</v>
      </c>
      <c r="C76">
        <v>7898.7998046875</v>
      </c>
      <c r="D76">
        <v>3.511053890201004E-2</v>
      </c>
      <c r="E76">
        <v>-1.3410887313425801E-3</v>
      </c>
    </row>
    <row r="77" spans="1:5">
      <c r="A77" s="5">
        <v>45036</v>
      </c>
      <c r="B77" s="6" t="s">
        <v>270</v>
      </c>
      <c r="C77">
        <v>7902.60009765625</v>
      </c>
      <c r="D77">
        <v>2.1070239308606645E-2</v>
      </c>
      <c r="E77">
        <v>4.8100713424243128E-4</v>
      </c>
    </row>
    <row r="78" spans="1:5">
      <c r="A78" s="5">
        <v>45037</v>
      </c>
      <c r="B78" s="6" t="s">
        <v>271</v>
      </c>
      <c r="C78">
        <v>7914.10009765625</v>
      </c>
      <c r="D78">
        <v>3.4499642970709475E-2</v>
      </c>
      <c r="E78">
        <v>1.4541594497542295E-3</v>
      </c>
    </row>
    <row r="79" spans="1:5">
      <c r="A79" s="5">
        <v>45040</v>
      </c>
      <c r="B79" s="6" t="s">
        <v>272</v>
      </c>
      <c r="C79">
        <v>7912.2001953125</v>
      </c>
      <c r="D79">
        <v>-4.5913138583342082E-2</v>
      </c>
      <c r="E79">
        <v>-2.4009431360540187E-4</v>
      </c>
    </row>
    <row r="80" spans="1:5">
      <c r="A80" s="5">
        <v>45041</v>
      </c>
      <c r="B80" s="6" t="s">
        <v>273</v>
      </c>
      <c r="C80">
        <v>7891.10009765625</v>
      </c>
      <c r="D80">
        <v>-2.3498750959078139E-2</v>
      </c>
      <c r="E80">
        <v>-2.6703422453967316E-3</v>
      </c>
    </row>
    <row r="81" spans="1:5">
      <c r="A81" s="5">
        <v>45042</v>
      </c>
      <c r="B81">
        <v>724</v>
      </c>
      <c r="C81">
        <v>7852.60009765625</v>
      </c>
      <c r="D81">
        <v>-1.071584351856009E-2</v>
      </c>
      <c r="E81">
        <v>-4.8908549155740905E-3</v>
      </c>
    </row>
    <row r="82" spans="1:5">
      <c r="A82" s="5">
        <v>45043</v>
      </c>
      <c r="B82" s="6" t="s">
        <v>274</v>
      </c>
      <c r="C82">
        <v>7831.60009765625</v>
      </c>
      <c r="D82">
        <v>-4.7072279519107746E-3</v>
      </c>
      <c r="E82">
        <v>-2.6778557130849763E-3</v>
      </c>
    </row>
    <row r="83" spans="1:5">
      <c r="A83" s="5">
        <v>45044</v>
      </c>
      <c r="B83" s="6" t="s">
        <v>275</v>
      </c>
      <c r="C83">
        <v>7870.60009765625</v>
      </c>
      <c r="D83">
        <v>2.2232303939659241E-2</v>
      </c>
      <c r="E83">
        <v>4.967466942336623E-3</v>
      </c>
    </row>
    <row r="84" spans="1:5">
      <c r="A84" s="5">
        <v>45048</v>
      </c>
      <c r="B84" s="6" t="s">
        <v>276</v>
      </c>
      <c r="C84">
        <v>7773</v>
      </c>
      <c r="D84">
        <v>-2.1738807282999885E-3</v>
      </c>
      <c r="E84">
        <v>-1.2478120564749274E-2</v>
      </c>
    </row>
    <row r="85" spans="1:5">
      <c r="A85" s="5">
        <v>45049</v>
      </c>
      <c r="B85" s="6" t="s">
        <v>277</v>
      </c>
      <c r="C85">
        <v>7788.39990234375</v>
      </c>
      <c r="D85">
        <v>2.9879312631815665E-3</v>
      </c>
      <c r="E85">
        <v>1.9792444725669775E-3</v>
      </c>
    </row>
    <row r="86" spans="1:5">
      <c r="A86" s="5">
        <v>45050</v>
      </c>
      <c r="B86" s="6" t="s">
        <v>278</v>
      </c>
      <c r="C86">
        <v>7702.60009765625</v>
      </c>
      <c r="D86">
        <v>-7.4880228523522066E-2</v>
      </c>
      <c r="E86">
        <v>-1.1077487840097681E-2</v>
      </c>
    </row>
    <row r="87" spans="1:5">
      <c r="A87" s="5">
        <v>45051</v>
      </c>
      <c r="B87" s="6" t="s">
        <v>279</v>
      </c>
      <c r="C87">
        <v>7778.39990234375</v>
      </c>
      <c r="D87">
        <v>1.8248117634767039E-2</v>
      </c>
      <c r="E87">
        <v>9.7927020779591638E-3</v>
      </c>
    </row>
    <row r="88" spans="1:5">
      <c r="A88" s="5">
        <v>45055</v>
      </c>
      <c r="B88" s="6" t="s">
        <v>280</v>
      </c>
      <c r="C88">
        <v>7764.10009765625</v>
      </c>
      <c r="D88">
        <v>-9.1614378742372105E-2</v>
      </c>
      <c r="E88">
        <v>-1.8400911979863863E-3</v>
      </c>
    </row>
    <row r="89" spans="1:5">
      <c r="A89" s="5">
        <v>45056</v>
      </c>
      <c r="B89" s="6" t="s">
        <v>281</v>
      </c>
      <c r="C89">
        <v>7741.2998046875</v>
      </c>
      <c r="D89">
        <v>-0.26579890060871419</v>
      </c>
      <c r="E89">
        <v>-2.9409508359700106E-3</v>
      </c>
    </row>
    <row r="90" spans="1:5">
      <c r="A90" s="5">
        <v>45057</v>
      </c>
      <c r="B90">
        <v>500</v>
      </c>
      <c r="C90">
        <v>7730.60009765625</v>
      </c>
      <c r="D90">
        <v>2.5522969753686668E-2</v>
      </c>
      <c r="E90">
        <v>-1.3831150413980639E-3</v>
      </c>
    </row>
    <row r="91" spans="1:5">
      <c r="A91" s="5">
        <v>45058</v>
      </c>
      <c r="B91">
        <v>505</v>
      </c>
      <c r="C91">
        <v>7754.60009765625</v>
      </c>
      <c r="D91">
        <v>9.950330853168092E-3</v>
      </c>
      <c r="E91">
        <v>3.0997363823547217E-3</v>
      </c>
    </row>
    <row r="92" spans="1:5">
      <c r="A92" s="5">
        <v>45061</v>
      </c>
      <c r="B92">
        <v>400.5</v>
      </c>
      <c r="C92">
        <v>7777.7001953125</v>
      </c>
      <c r="D92">
        <v>-0.23184466276694587</v>
      </c>
      <c r="E92">
        <v>2.9744615094858522E-3</v>
      </c>
    </row>
    <row r="93" spans="1:5">
      <c r="A93" s="5">
        <v>45062</v>
      </c>
      <c r="B93" s="6" t="s">
        <v>282</v>
      </c>
      <c r="C93">
        <v>7751.10009765625</v>
      </c>
      <c r="D93">
        <v>-4.0030228979195358E-3</v>
      </c>
      <c r="E93">
        <v>-3.4259083987402783E-3</v>
      </c>
    </row>
    <row r="94" spans="1:5">
      <c r="A94" s="5">
        <v>45063</v>
      </c>
      <c r="B94">
        <v>430</v>
      </c>
      <c r="C94">
        <v>7723.2001953125</v>
      </c>
      <c r="D94">
        <v>7.5074465077113683E-2</v>
      </c>
      <c r="E94">
        <v>-3.6059701631017522E-3</v>
      </c>
    </row>
    <row r="95" spans="1:5">
      <c r="A95" s="5">
        <v>45064</v>
      </c>
      <c r="B95">
        <v>453.5</v>
      </c>
      <c r="C95">
        <v>7742.2998046875</v>
      </c>
      <c r="D95">
        <v>5.3210060867583113E-2</v>
      </c>
      <c r="E95">
        <v>2.4699646419606264E-3</v>
      </c>
    </row>
    <row r="96" spans="1:5">
      <c r="A96" s="5">
        <v>45065</v>
      </c>
      <c r="B96" s="6" t="s">
        <v>283</v>
      </c>
      <c r="C96">
        <v>7756.89990234375</v>
      </c>
      <c r="D96">
        <v>-1.6452113739027351E-2</v>
      </c>
      <c r="E96">
        <v>1.8839813991266233E-3</v>
      </c>
    </row>
    <row r="97" spans="1:5">
      <c r="A97" s="5">
        <v>45068</v>
      </c>
      <c r="B97">
        <v>443.5</v>
      </c>
      <c r="C97">
        <v>7771</v>
      </c>
      <c r="D97">
        <v>-5.8453540665297397E-3</v>
      </c>
      <c r="E97">
        <v>1.8160989728624928E-3</v>
      </c>
    </row>
    <row r="98" spans="1:5">
      <c r="A98" s="5">
        <v>45069</v>
      </c>
      <c r="B98" s="6" t="s">
        <v>284</v>
      </c>
      <c r="C98">
        <v>7763</v>
      </c>
      <c r="D98">
        <v>2.5159933286308417E-2</v>
      </c>
      <c r="E98">
        <v>-1.0299988035618296E-3</v>
      </c>
    </row>
    <row r="99" spans="1:5">
      <c r="A99" s="5">
        <v>45070</v>
      </c>
      <c r="B99">
        <v>436</v>
      </c>
      <c r="C99">
        <v>7627.10009765625</v>
      </c>
      <c r="D99">
        <v>-4.2215491686908212E-2</v>
      </c>
      <c r="E99">
        <v>-1.7661150208478745E-2</v>
      </c>
    </row>
    <row r="100" spans="1:5">
      <c r="A100" s="5">
        <v>45071</v>
      </c>
      <c r="B100" s="6" t="s">
        <v>285</v>
      </c>
      <c r="C100">
        <v>7570.89990234375</v>
      </c>
      <c r="D100">
        <v>-4.1921590388295453E-2</v>
      </c>
      <c r="E100">
        <v>-7.3957693748302276E-3</v>
      </c>
    </row>
    <row r="101" spans="1:5">
      <c r="A101" s="5">
        <v>45072</v>
      </c>
      <c r="B101">
        <v>406</v>
      </c>
      <c r="C101">
        <v>7627.2001953125</v>
      </c>
      <c r="D101">
        <v>-2.9367493359006239E-2</v>
      </c>
      <c r="E101">
        <v>7.4088932355553441E-3</v>
      </c>
    </row>
    <row r="102" spans="1:5">
      <c r="A102" s="5">
        <v>45076</v>
      </c>
      <c r="B102">
        <v>356</v>
      </c>
      <c r="C102">
        <v>7522.10009765625</v>
      </c>
      <c r="D102">
        <v>-0.13142242874970214</v>
      </c>
      <c r="E102">
        <v>-1.3875463796823298E-2</v>
      </c>
    </row>
    <row r="103" spans="1:5">
      <c r="A103" s="5">
        <v>45077</v>
      </c>
      <c r="B103" s="6" t="s">
        <v>286</v>
      </c>
      <c r="C103">
        <v>7446.10009765625</v>
      </c>
      <c r="D103">
        <v>-3.6326065946296879E-2</v>
      </c>
      <c r="E103">
        <v>-1.0154948773990063E-2</v>
      </c>
    </row>
    <row r="104" spans="1:5">
      <c r="A104" s="5">
        <v>45078</v>
      </c>
      <c r="B104">
        <v>342</v>
      </c>
      <c r="C104">
        <v>7490.2998046875</v>
      </c>
      <c r="D104">
        <v>-3.7939278431283921E-3</v>
      </c>
      <c r="E104">
        <v>5.9184055511838753E-3</v>
      </c>
    </row>
    <row r="105" spans="1:5">
      <c r="A105" s="5">
        <v>45079</v>
      </c>
      <c r="B105" s="6" t="s">
        <v>287</v>
      </c>
      <c r="C105">
        <v>7607.2998046875</v>
      </c>
      <c r="D105">
        <v>2.426460458092217E-2</v>
      </c>
      <c r="E105">
        <v>1.5499462867345265E-2</v>
      </c>
    </row>
    <row r="106" spans="1:5">
      <c r="A106" s="5">
        <v>45082</v>
      </c>
      <c r="B106" s="6" t="s">
        <v>288</v>
      </c>
      <c r="C106">
        <v>7600</v>
      </c>
      <c r="D106">
        <v>6.838390802327339E-2</v>
      </c>
      <c r="E106">
        <v>-9.6003963121993135E-4</v>
      </c>
    </row>
    <row r="107" spans="1:5">
      <c r="A107" s="5">
        <v>45083</v>
      </c>
      <c r="B107">
        <v>356</v>
      </c>
      <c r="C107">
        <v>7628.10009765625</v>
      </c>
      <c r="D107">
        <v>-5.2528518814770137E-2</v>
      </c>
      <c r="E107">
        <v>3.6905627583537939E-3</v>
      </c>
    </row>
    <row r="108" spans="1:5">
      <c r="A108" s="5">
        <v>45084</v>
      </c>
      <c r="B108">
        <v>348</v>
      </c>
      <c r="C108">
        <v>7624.2998046875</v>
      </c>
      <c r="D108">
        <v>-2.2728251077556175E-2</v>
      </c>
      <c r="E108">
        <v>-4.9832066713744502E-4</v>
      </c>
    </row>
    <row r="109" spans="1:5">
      <c r="A109" s="5">
        <v>45085</v>
      </c>
      <c r="B109" s="6" t="s">
        <v>289</v>
      </c>
      <c r="C109">
        <v>7599.7001953125</v>
      </c>
      <c r="D109">
        <v>-1.4180512120750631E-2</v>
      </c>
      <c r="E109">
        <v>-3.2316908545059475E-3</v>
      </c>
    </row>
    <row r="110" spans="1:5">
      <c r="A110" s="5">
        <v>45086</v>
      </c>
      <c r="B110" s="6" t="s">
        <v>290</v>
      </c>
      <c r="C110">
        <v>7562.39990234375</v>
      </c>
      <c r="D110">
        <v>-5.3889121569592864E-2</v>
      </c>
      <c r="E110">
        <v>-4.9202113133523266E-3</v>
      </c>
    </row>
    <row r="111" spans="1:5">
      <c r="A111" s="5">
        <v>45089</v>
      </c>
      <c r="B111" s="6" t="s">
        <v>291</v>
      </c>
      <c r="C111">
        <v>7570.7001953125</v>
      </c>
      <c r="D111">
        <v>1.2836306228550811E-2</v>
      </c>
      <c r="E111">
        <v>1.096972034484819E-3</v>
      </c>
    </row>
    <row r="112" spans="1:5">
      <c r="A112" s="5">
        <v>45090</v>
      </c>
      <c r="B112">
        <v>325</v>
      </c>
      <c r="C112">
        <v>7594.7998046875</v>
      </c>
      <c r="D112">
        <v>-1.3143969982944046E-2</v>
      </c>
      <c r="E112">
        <v>3.1782176203854801E-3</v>
      </c>
    </row>
    <row r="113" spans="1:5">
      <c r="A113" s="5">
        <v>45091</v>
      </c>
      <c r="B113">
        <v>328</v>
      </c>
      <c r="C113">
        <v>7602.7001953125</v>
      </c>
      <c r="D113">
        <v>9.1884260544061701E-3</v>
      </c>
      <c r="E113">
        <v>1.0396961785388474E-3</v>
      </c>
    </row>
    <row r="114" spans="1:5">
      <c r="A114" s="5">
        <v>45092</v>
      </c>
      <c r="B114" s="6" t="s">
        <v>292</v>
      </c>
      <c r="C114">
        <v>7628.2998046875</v>
      </c>
      <c r="D114">
        <v>0.13763878311157682</v>
      </c>
      <c r="E114">
        <v>3.3615171007631353E-3</v>
      </c>
    </row>
    <row r="115" spans="1:5">
      <c r="A115" s="5">
        <v>45093</v>
      </c>
      <c r="B115" s="6" t="s">
        <v>293</v>
      </c>
      <c r="C115">
        <v>7642.7001953125</v>
      </c>
      <c r="D115">
        <v>-1.6068905201870428E-2</v>
      </c>
      <c r="E115">
        <v>1.8859792932247117E-3</v>
      </c>
    </row>
    <row r="116" spans="1:5">
      <c r="A116" s="5">
        <v>45096</v>
      </c>
      <c r="B116" s="6" t="s">
        <v>294</v>
      </c>
      <c r="C116">
        <v>7588.5</v>
      </c>
      <c r="D116">
        <v>0.10449625753346471</v>
      </c>
      <c r="E116">
        <v>-7.1170260250772036E-3</v>
      </c>
    </row>
    <row r="117" spans="1:5">
      <c r="A117" s="5">
        <v>45097</v>
      </c>
      <c r="B117">
        <v>397</v>
      </c>
      <c r="C117">
        <v>7569.2998046875</v>
      </c>
      <c r="D117">
        <v>-3.5143463140124578E-2</v>
      </c>
      <c r="E117">
        <v>-2.5333763249015314E-3</v>
      </c>
    </row>
    <row r="118" spans="1:5">
      <c r="A118" s="5">
        <v>45098</v>
      </c>
      <c r="B118" s="6" t="s">
        <v>295</v>
      </c>
      <c r="C118">
        <v>7559.2001953125</v>
      </c>
      <c r="D118">
        <v>9.7757237367368764E-3</v>
      </c>
      <c r="E118">
        <v>-1.3351767690622308E-3</v>
      </c>
    </row>
    <row r="119" spans="1:5">
      <c r="A119" s="5">
        <v>45099</v>
      </c>
      <c r="B119" s="6" t="s">
        <v>296</v>
      </c>
      <c r="C119">
        <v>7502</v>
      </c>
      <c r="D119">
        <v>1.9269416014253988E-2</v>
      </c>
      <c r="E119">
        <v>-7.595738664304112E-3</v>
      </c>
    </row>
    <row r="120" spans="1:5">
      <c r="A120" s="5">
        <v>45100</v>
      </c>
      <c r="B120" s="6" t="s">
        <v>297</v>
      </c>
      <c r="C120">
        <v>7461.89990234375</v>
      </c>
      <c r="D120">
        <v>-4.5809581533249252E-2</v>
      </c>
      <c r="E120">
        <v>-5.3595912707572737E-3</v>
      </c>
    </row>
    <row r="121" spans="1:5">
      <c r="A121" s="5">
        <v>45103</v>
      </c>
      <c r="B121" s="6" t="s">
        <v>298</v>
      </c>
      <c r="C121">
        <v>7453.60009765625</v>
      </c>
      <c r="D121">
        <v>6.1287064984146787E-3</v>
      </c>
      <c r="E121">
        <v>-1.1129101329699681E-3</v>
      </c>
    </row>
    <row r="122" spans="1:5">
      <c r="A122" s="5">
        <v>45104</v>
      </c>
      <c r="B122" s="6" t="s">
        <v>299</v>
      </c>
      <c r="C122">
        <v>7461.5</v>
      </c>
      <c r="D122">
        <v>3.6985770919500539E-2</v>
      </c>
      <c r="E122">
        <v>1.0593161334172478E-3</v>
      </c>
    </row>
    <row r="123" spans="1:5">
      <c r="A123" s="5">
        <v>45105</v>
      </c>
      <c r="B123" s="6" t="s">
        <v>300</v>
      </c>
      <c r="C123">
        <v>7500.5</v>
      </c>
      <c r="D123">
        <v>2.2080251400091448E-2</v>
      </c>
      <c r="E123">
        <v>5.2132185974222301E-3</v>
      </c>
    </row>
    <row r="124" spans="1:5">
      <c r="A124" s="5">
        <v>45106</v>
      </c>
      <c r="B124">
        <v>376</v>
      </c>
      <c r="C124">
        <v>7471.7001953125</v>
      </c>
      <c r="D124">
        <v>-0.10277742433304421</v>
      </c>
      <c r="E124">
        <v>-3.8471086189262441E-3</v>
      </c>
    </row>
    <row r="125" spans="1:5">
      <c r="A125" s="5">
        <v>45107</v>
      </c>
      <c r="B125" s="6" t="s">
        <v>301</v>
      </c>
      <c r="C125">
        <v>7531.5</v>
      </c>
      <c r="D125">
        <v>1.7662280938890468E-2</v>
      </c>
      <c r="E125">
        <v>7.9716487928511246E-3</v>
      </c>
    </row>
    <row r="126" spans="1:5">
      <c r="A126" s="5">
        <v>45110</v>
      </c>
      <c r="B126" s="6" t="s">
        <v>302</v>
      </c>
      <c r="C126">
        <v>7527.2998046875</v>
      </c>
      <c r="D126">
        <v>-1.7928289995725582E-2</v>
      </c>
      <c r="E126">
        <v>-5.5783933326639687E-4</v>
      </c>
    </row>
    <row r="127" spans="1:5">
      <c r="A127" s="5">
        <v>45111</v>
      </c>
      <c r="B127">
        <v>368.5</v>
      </c>
      <c r="C127">
        <v>7519.7001953125</v>
      </c>
      <c r="D127">
        <v>-1.9882422703668148E-2</v>
      </c>
      <c r="E127">
        <v>-1.0101163050679847E-3</v>
      </c>
    </row>
    <row r="128" spans="1:5">
      <c r="A128" s="5">
        <v>45112</v>
      </c>
      <c r="B128" s="6" t="s">
        <v>303</v>
      </c>
      <c r="C128">
        <v>7442.10009765625</v>
      </c>
      <c r="D128">
        <v>-3.704125449218916E-2</v>
      </c>
      <c r="E128">
        <v>-1.0373189318058905E-2</v>
      </c>
    </row>
    <row r="129" spans="1:5">
      <c r="A129" s="5">
        <v>45113</v>
      </c>
      <c r="B129" s="6" t="s">
        <v>304</v>
      </c>
      <c r="C129">
        <v>7280.5</v>
      </c>
      <c r="D129">
        <v>-7.6645722499550761E-2</v>
      </c>
      <c r="E129">
        <v>-2.1953539035517302E-2</v>
      </c>
    </row>
    <row r="130" spans="1:5">
      <c r="A130" s="5">
        <v>45114</v>
      </c>
      <c r="B130" s="6" t="s">
        <v>305</v>
      </c>
      <c r="C130">
        <v>7256.89990234375</v>
      </c>
      <c r="D130">
        <v>2.1952522645701012E-2</v>
      </c>
      <c r="E130">
        <v>-3.2468142235997574E-3</v>
      </c>
    </row>
    <row r="131" spans="1:5">
      <c r="A131" s="5">
        <v>45117</v>
      </c>
      <c r="B131" s="6" t="s">
        <v>306</v>
      </c>
      <c r="C131">
        <v>7273.7998046875</v>
      </c>
      <c r="D131">
        <v>1.3882903956381627E-2</v>
      </c>
      <c r="E131">
        <v>2.3260972017247021E-3</v>
      </c>
    </row>
    <row r="132" spans="1:5">
      <c r="A132" s="5">
        <v>45118</v>
      </c>
      <c r="B132" s="6" t="s">
        <v>307</v>
      </c>
      <c r="C132">
        <v>7282.5</v>
      </c>
      <c r="D132">
        <v>-8.8037509125306345E-4</v>
      </c>
      <c r="E132">
        <v>1.1953857045054652E-3</v>
      </c>
    </row>
    <row r="133" spans="1:5">
      <c r="A133" s="5">
        <v>45119</v>
      </c>
      <c r="B133" s="6" t="s">
        <v>308</v>
      </c>
      <c r="C133">
        <v>7416.10009765625</v>
      </c>
      <c r="D133">
        <v>7.3835322217676053E-2</v>
      </c>
      <c r="E133">
        <v>1.8179115847473594E-2</v>
      </c>
    </row>
    <row r="134" spans="1:5">
      <c r="A134" s="5">
        <v>45120</v>
      </c>
      <c r="B134">
        <v>377</v>
      </c>
      <c r="C134">
        <v>7440.2001953125</v>
      </c>
      <c r="D134">
        <v>2.770107908185385E-2</v>
      </c>
      <c r="E134">
        <v>3.2444307561713651E-3</v>
      </c>
    </row>
    <row r="135" spans="1:5">
      <c r="A135" s="5">
        <v>45121</v>
      </c>
      <c r="B135" s="6" t="s">
        <v>309</v>
      </c>
      <c r="C135">
        <v>7434.60009765625</v>
      </c>
      <c r="D135">
        <v>-7.5169508471528645E-2</v>
      </c>
      <c r="E135">
        <v>-7.5296445135879329E-4</v>
      </c>
    </row>
    <row r="136" spans="1:5">
      <c r="A136" s="5">
        <v>45124</v>
      </c>
      <c r="B136" s="6" t="s">
        <v>310</v>
      </c>
      <c r="C136">
        <v>7406.39990234375</v>
      </c>
      <c r="D136">
        <v>6.2713480065968155E-3</v>
      </c>
      <c r="E136">
        <v>-3.8003138942569376E-3</v>
      </c>
    </row>
    <row r="137" spans="1:5">
      <c r="A137" s="5">
        <v>45125</v>
      </c>
      <c r="B137" s="6" t="s">
        <v>311</v>
      </c>
      <c r="C137">
        <v>7453.7001953125</v>
      </c>
      <c r="D137">
        <v>7.0753235054715535E-2</v>
      </c>
      <c r="E137">
        <v>6.3661014937570959E-3</v>
      </c>
    </row>
    <row r="138" spans="1:5">
      <c r="A138" s="5">
        <v>45126</v>
      </c>
      <c r="B138" s="6" t="s">
        <v>312</v>
      </c>
      <c r="C138">
        <v>7588.2001953125</v>
      </c>
      <c r="D138">
        <v>2.1477990689464353E-2</v>
      </c>
      <c r="E138">
        <v>1.7883855267585458E-2</v>
      </c>
    </row>
    <row r="139" spans="1:5">
      <c r="A139" s="5">
        <v>45127</v>
      </c>
      <c r="B139">
        <v>400</v>
      </c>
      <c r="C139">
        <v>7646.10009765625</v>
      </c>
      <c r="D139">
        <v>3.5886294380723154E-2</v>
      </c>
      <c r="E139">
        <v>7.6012918238830517E-3</v>
      </c>
    </row>
    <row r="140" spans="1:5">
      <c r="A140" s="5">
        <v>45128</v>
      </c>
      <c r="B140">
        <v>395.5</v>
      </c>
      <c r="C140">
        <v>7663.7001953125</v>
      </c>
      <c r="D140">
        <v>-1.1313759900273404E-2</v>
      </c>
      <c r="E140">
        <v>2.2991946430037688E-3</v>
      </c>
    </row>
    <row r="141" spans="1:5">
      <c r="A141" s="5">
        <v>45131</v>
      </c>
      <c r="B141" s="6" t="s">
        <v>313</v>
      </c>
      <c r="C141">
        <v>7678.60009765625</v>
      </c>
      <c r="D141">
        <v>-3.1071972515610596E-2</v>
      </c>
      <c r="E141">
        <v>1.9423302560331137E-3</v>
      </c>
    </row>
    <row r="142" spans="1:5">
      <c r="A142" s="5">
        <v>45132</v>
      </c>
      <c r="B142">
        <v>405</v>
      </c>
      <c r="C142">
        <v>7691.7998046875</v>
      </c>
      <c r="D142">
        <v>5.4808252414441164E-2</v>
      </c>
      <c r="E142">
        <v>1.7175493624129385E-3</v>
      </c>
    </row>
    <row r="143" spans="1:5">
      <c r="A143" s="5">
        <v>45133</v>
      </c>
      <c r="B143" s="6" t="s">
        <v>314</v>
      </c>
      <c r="C143">
        <v>7676.89990234375</v>
      </c>
      <c r="D143">
        <v>5.908421704537258E-3</v>
      </c>
      <c r="E143">
        <v>-1.9389938376104738E-3</v>
      </c>
    </row>
    <row r="144" spans="1:5">
      <c r="A144" s="5">
        <v>45134</v>
      </c>
      <c r="B144">
        <v>401.5</v>
      </c>
      <c r="C144">
        <v>7692.7998046875</v>
      </c>
      <c r="D144">
        <v>-1.4587955424260031E-2</v>
      </c>
      <c r="E144">
        <v>2.0689939710945692E-3</v>
      </c>
    </row>
    <row r="145" spans="1:5">
      <c r="A145" s="5">
        <v>45135</v>
      </c>
      <c r="B145">
        <v>414.5</v>
      </c>
      <c r="C145">
        <v>7694.2998046875</v>
      </c>
      <c r="D145">
        <v>3.1865441188533211E-2</v>
      </c>
      <c r="E145">
        <v>1.9496851815239223E-4</v>
      </c>
    </row>
    <row r="146" spans="1:5">
      <c r="A146" s="5">
        <v>45138</v>
      </c>
      <c r="B146" s="6" t="s">
        <v>315</v>
      </c>
      <c r="C146">
        <v>7699.39990234375</v>
      </c>
      <c r="D146">
        <v>1.4609303204699062E-2</v>
      </c>
      <c r="E146">
        <v>6.626214542210339E-4</v>
      </c>
    </row>
    <row r="147" spans="1:5">
      <c r="A147" s="5">
        <v>45139</v>
      </c>
      <c r="B147">
        <v>418.5</v>
      </c>
      <c r="C147">
        <v>7666.2998046875</v>
      </c>
      <c r="D147">
        <v>-5.005387850518731E-3</v>
      </c>
      <c r="E147">
        <v>-4.3083165083974972E-3</v>
      </c>
    </row>
    <row r="148" spans="1:5">
      <c r="A148" s="5">
        <v>45140</v>
      </c>
      <c r="B148" s="6" t="s">
        <v>316</v>
      </c>
      <c r="C148">
        <v>7561.60009765625</v>
      </c>
      <c r="D148">
        <v>8.5653773188035104E-3</v>
      </c>
      <c r="E148">
        <v>-1.3751253628405768E-2</v>
      </c>
    </row>
    <row r="149" spans="1:5">
      <c r="A149" s="5">
        <v>45141</v>
      </c>
      <c r="B149" s="6" t="s">
        <v>317</v>
      </c>
      <c r="C149">
        <v>7529.2001953125</v>
      </c>
      <c r="D149">
        <v>3.7834191947323115E-3</v>
      </c>
      <c r="E149">
        <v>-4.294000516655197E-3</v>
      </c>
    </row>
    <row r="150" spans="1:5">
      <c r="A150" s="5">
        <v>45142</v>
      </c>
      <c r="B150">
        <v>439</v>
      </c>
      <c r="C150">
        <v>7564.39990234375</v>
      </c>
      <c r="D150">
        <v>3.5473726632105428E-2</v>
      </c>
      <c r="E150">
        <v>4.6641981524446494E-3</v>
      </c>
    </row>
    <row r="151" spans="1:5">
      <c r="A151" s="5">
        <v>45145</v>
      </c>
      <c r="B151" s="6" t="s">
        <v>318</v>
      </c>
      <c r="C151">
        <v>7554.5</v>
      </c>
      <c r="D151">
        <v>-1.7000165549589368E-2</v>
      </c>
      <c r="E151">
        <v>-1.3096063632424728E-3</v>
      </c>
    </row>
    <row r="152" spans="1:5">
      <c r="A152" s="5">
        <v>45146</v>
      </c>
      <c r="B152">
        <v>423</v>
      </c>
      <c r="C152">
        <v>7527.39990234375</v>
      </c>
      <c r="D152">
        <v>-2.0127068479304011E-2</v>
      </c>
      <c r="E152">
        <v>-3.5937285087341182E-3</v>
      </c>
    </row>
    <row r="153" spans="1:5">
      <c r="A153" s="5">
        <v>45147</v>
      </c>
      <c r="B153">
        <v>423.5</v>
      </c>
      <c r="C153">
        <v>7587.2998046875</v>
      </c>
      <c r="D153">
        <v>1.1813350458311713E-3</v>
      </c>
      <c r="E153">
        <v>7.9260874638262743E-3</v>
      </c>
    </row>
    <row r="154" spans="1:5">
      <c r="A154" s="5">
        <v>45148</v>
      </c>
      <c r="B154" s="6" t="s">
        <v>319</v>
      </c>
      <c r="C154">
        <v>7618.60009765625</v>
      </c>
      <c r="D154">
        <v>6.1205607378962291E-3</v>
      </c>
      <c r="E154">
        <v>4.1168674498402377E-3</v>
      </c>
    </row>
    <row r="155" spans="1:5">
      <c r="A155" s="5">
        <v>45149</v>
      </c>
      <c r="B155">
        <v>424</v>
      </c>
      <c r="C155">
        <v>7524.2001953125</v>
      </c>
      <c r="D155">
        <v>-4.9406195980474434E-3</v>
      </c>
      <c r="E155">
        <v>-1.2468119953753699E-2</v>
      </c>
    </row>
    <row r="156" spans="1:5">
      <c r="A156" s="5">
        <v>45152</v>
      </c>
      <c r="B156" s="6" t="s">
        <v>320</v>
      </c>
      <c r="C156">
        <v>7507.2001953125</v>
      </c>
      <c r="D156">
        <v>-6.1524170227565206E-2</v>
      </c>
      <c r="E156">
        <v>-2.2619325952821794E-3</v>
      </c>
    </row>
    <row r="157" spans="1:5">
      <c r="A157" s="5">
        <v>45153</v>
      </c>
      <c r="B157">
        <v>399</v>
      </c>
      <c r="C157">
        <v>7389.60009765625</v>
      </c>
      <c r="D157">
        <v>7.5213188547088342E-4</v>
      </c>
      <c r="E157">
        <v>-1.5788966542028198E-2</v>
      </c>
    </row>
    <row r="158" spans="1:5">
      <c r="A158" s="5">
        <v>45154</v>
      </c>
      <c r="B158">
        <v>400</v>
      </c>
      <c r="C158">
        <v>7356.89990234375</v>
      </c>
      <c r="D158">
        <v>2.5031302181184748E-3</v>
      </c>
      <c r="E158">
        <v>-4.4349844249231361E-3</v>
      </c>
    </row>
    <row r="159" spans="1:5">
      <c r="A159" s="5">
        <v>45155</v>
      </c>
      <c r="B159">
        <v>396</v>
      </c>
      <c r="C159">
        <v>7310.2001953125</v>
      </c>
      <c r="D159">
        <v>-1.0050335853501451E-2</v>
      </c>
      <c r="E159">
        <v>-6.3679752003617312E-3</v>
      </c>
    </row>
    <row r="160" spans="1:5">
      <c r="A160" s="5">
        <v>45156</v>
      </c>
      <c r="B160" s="6" t="s">
        <v>321</v>
      </c>
      <c r="C160">
        <v>7262.39990234375</v>
      </c>
      <c r="D160">
        <v>-1.9893509074359293E-2</v>
      </c>
      <c r="E160">
        <v>-6.5603206131066155E-3</v>
      </c>
    </row>
    <row r="161" spans="1:5">
      <c r="A161" s="5">
        <v>45159</v>
      </c>
      <c r="B161" s="6" t="s">
        <v>322</v>
      </c>
      <c r="C161">
        <v>7257.7998046875</v>
      </c>
      <c r="D161">
        <v>1.0506119918813065E-2</v>
      </c>
      <c r="E161">
        <v>-6.3361357322389131E-4</v>
      </c>
    </row>
    <row r="162" spans="1:5">
      <c r="A162" s="5">
        <v>45160</v>
      </c>
      <c r="B162" s="6" t="s">
        <v>323</v>
      </c>
      <c r="C162">
        <v>7270.7998046875</v>
      </c>
      <c r="D162">
        <v>-4.8841099407213588E-2</v>
      </c>
      <c r="E162">
        <v>1.7895741942077768E-3</v>
      </c>
    </row>
    <row r="163" spans="1:5">
      <c r="A163" s="5">
        <v>45161</v>
      </c>
      <c r="B163" s="6" t="s">
        <v>324</v>
      </c>
      <c r="C163">
        <v>7320.5</v>
      </c>
      <c r="D163">
        <v>1.2237465809291762E-2</v>
      </c>
      <c r="E163">
        <v>6.8123317571808758E-3</v>
      </c>
    </row>
    <row r="164" spans="1:5">
      <c r="A164" s="5">
        <v>45162</v>
      </c>
      <c r="B164">
        <v>387</v>
      </c>
      <c r="C164">
        <v>7333.60009765625</v>
      </c>
      <c r="D164">
        <v>2.3001504528769257E-2</v>
      </c>
      <c r="E164">
        <v>1.7879093303059565E-3</v>
      </c>
    </row>
    <row r="165" spans="1:5">
      <c r="A165" s="5">
        <v>45163</v>
      </c>
      <c r="B165" s="6" t="s">
        <v>325</v>
      </c>
      <c r="C165">
        <v>7338.60009765625</v>
      </c>
      <c r="D165">
        <v>4.3831762331579469E-3</v>
      </c>
      <c r="E165">
        <v>6.8156106473376231E-4</v>
      </c>
    </row>
    <row r="166" spans="1:5">
      <c r="A166" s="5">
        <v>45167</v>
      </c>
      <c r="B166" s="6" t="s">
        <v>326</v>
      </c>
      <c r="C166">
        <v>7465</v>
      </c>
      <c r="D166">
        <v>4.7723770503477446E-2</v>
      </c>
      <c r="E166">
        <v>1.7077328944714004E-2</v>
      </c>
    </row>
    <row r="167" spans="1:5">
      <c r="A167" s="5">
        <v>45168</v>
      </c>
      <c r="B167" s="6" t="s">
        <v>327</v>
      </c>
      <c r="C167">
        <v>7473.7001953125</v>
      </c>
      <c r="D167">
        <v>-7.632699947464139E-3</v>
      </c>
      <c r="E167">
        <v>1.1647862507982456E-3</v>
      </c>
    </row>
    <row r="168" spans="1:5">
      <c r="A168" s="5">
        <v>45169</v>
      </c>
      <c r="B168" s="6" t="s">
        <v>328</v>
      </c>
      <c r="C168">
        <v>7439.10009765625</v>
      </c>
      <c r="D168">
        <v>8.023278189259983E-2</v>
      </c>
      <c r="E168">
        <v>-4.6403303286464831E-3</v>
      </c>
    </row>
    <row r="169" spans="1:5">
      <c r="A169" s="5">
        <v>45170</v>
      </c>
      <c r="B169" s="6" t="s">
        <v>329</v>
      </c>
      <c r="C169">
        <v>7464.5</v>
      </c>
      <c r="D169">
        <v>2.5671290674864178E-2</v>
      </c>
      <c r="E169">
        <v>3.4085625982021063E-3</v>
      </c>
    </row>
    <row r="170" spans="1:5">
      <c r="A170" s="5">
        <v>45173</v>
      </c>
      <c r="B170" s="6" t="s">
        <v>330</v>
      </c>
      <c r="C170">
        <v>7452.7998046875</v>
      </c>
      <c r="D170">
        <v>-2.0665564165438195E-2</v>
      </c>
      <c r="E170">
        <v>-1.5686750102167774E-3</v>
      </c>
    </row>
    <row r="171" spans="1:5">
      <c r="A171" s="5">
        <v>45174</v>
      </c>
      <c r="B171">
        <v>441</v>
      </c>
      <c r="C171">
        <v>7437.89990234375</v>
      </c>
      <c r="D171">
        <v>9.0742722586694118E-4</v>
      </c>
      <c r="E171">
        <v>-2.0012366926574921E-3</v>
      </c>
    </row>
    <row r="172" spans="1:5">
      <c r="A172" s="5">
        <v>45175</v>
      </c>
      <c r="B172" s="6" t="s">
        <v>331</v>
      </c>
      <c r="C172">
        <v>7426.10009765625</v>
      </c>
      <c r="D172">
        <v>-3.9547311486734529E-2</v>
      </c>
      <c r="E172">
        <v>-1.5877027941664909E-3</v>
      </c>
    </row>
    <row r="173" spans="1:5">
      <c r="A173" s="5">
        <v>45176</v>
      </c>
      <c r="B173">
        <v>410</v>
      </c>
      <c r="C173">
        <v>7441.7001953125</v>
      </c>
      <c r="D173">
        <v>-3.3340404261757932E-2</v>
      </c>
      <c r="E173">
        <v>2.0985085989515253E-3</v>
      </c>
    </row>
    <row r="174" spans="1:5">
      <c r="A174" s="5">
        <v>45177</v>
      </c>
      <c r="B174" s="6" t="s">
        <v>332</v>
      </c>
      <c r="C174">
        <v>7478.2001953125</v>
      </c>
      <c r="D174">
        <v>-2.1198738541685438E-2</v>
      </c>
      <c r="E174">
        <v>4.8928038204563203E-3</v>
      </c>
    </row>
    <row r="175" spans="1:5">
      <c r="A175" s="5">
        <v>45180</v>
      </c>
      <c r="B175" s="6" t="s">
        <v>333</v>
      </c>
      <c r="C175">
        <v>7496.89990234375</v>
      </c>
      <c r="D175">
        <v>6.2088863012464742E-3</v>
      </c>
      <c r="E175">
        <v>2.4974413030707811E-3</v>
      </c>
    </row>
    <row r="176" spans="1:5">
      <c r="A176" s="5">
        <v>45181</v>
      </c>
      <c r="B176" s="6" t="s">
        <v>334</v>
      </c>
      <c r="C176">
        <v>7527.5</v>
      </c>
      <c r="D176">
        <v>-3.2971418525293728E-2</v>
      </c>
      <c r="E176">
        <v>4.0733926368060761E-3</v>
      </c>
    </row>
    <row r="177" spans="1:5">
      <c r="A177" s="5">
        <v>45182</v>
      </c>
      <c r="B177" s="6" t="s">
        <v>335</v>
      </c>
      <c r="C177">
        <v>7526</v>
      </c>
      <c r="D177">
        <v>2.4018346571199525E-2</v>
      </c>
      <c r="E177">
        <v>-1.9928920250634926E-4</v>
      </c>
    </row>
    <row r="178" spans="1:5">
      <c r="A178" s="5">
        <v>45183</v>
      </c>
      <c r="B178" s="6" t="s">
        <v>336</v>
      </c>
      <c r="C178">
        <v>7673.10009765625</v>
      </c>
      <c r="D178">
        <v>9.98812602543772E-4</v>
      </c>
      <c r="E178">
        <v>1.935702637855697E-2</v>
      </c>
    </row>
    <row r="179" spans="1:5">
      <c r="A179" s="5">
        <v>45184</v>
      </c>
      <c r="B179" s="6" t="s">
        <v>337</v>
      </c>
      <c r="C179">
        <v>7711.39990234375</v>
      </c>
      <c r="D179">
        <v>7.2112554957746338E-3</v>
      </c>
      <c r="E179">
        <v>4.9790222380440416E-3</v>
      </c>
    </row>
    <row r="180" spans="1:5">
      <c r="A180" s="5">
        <v>45187</v>
      </c>
      <c r="B180">
        <v>392</v>
      </c>
      <c r="C180">
        <v>7652.89990234375</v>
      </c>
      <c r="D180">
        <v>-2.9162463811676118E-2</v>
      </c>
      <c r="E180">
        <v>-7.6150925773199136E-3</v>
      </c>
    </row>
    <row r="181" spans="1:5">
      <c r="A181" s="5">
        <v>45188</v>
      </c>
      <c r="B181" s="6" t="s">
        <v>338</v>
      </c>
      <c r="C181">
        <v>7660.2001953125</v>
      </c>
      <c r="D181">
        <v>-2.6103061540965491E-2</v>
      </c>
      <c r="E181">
        <v>9.5347035874585398E-4</v>
      </c>
    </row>
    <row r="182" spans="1:5">
      <c r="A182" s="5">
        <v>45189</v>
      </c>
      <c r="B182" s="6" t="s">
        <v>339</v>
      </c>
      <c r="C182">
        <v>7731.7001953125</v>
      </c>
      <c r="D182">
        <v>4.8303741064492672E-2</v>
      </c>
      <c r="E182">
        <v>9.2906674922745413E-3</v>
      </c>
    </row>
    <row r="183" spans="1:5">
      <c r="A183" s="5">
        <v>45190</v>
      </c>
      <c r="B183">
        <v>394.5</v>
      </c>
      <c r="C183">
        <v>7678.60009765625</v>
      </c>
      <c r="D183">
        <v>-1.5843379028060808E-2</v>
      </c>
      <c r="E183">
        <v>-6.8915344678023424E-3</v>
      </c>
    </row>
    <row r="184" spans="1:5">
      <c r="A184" s="5">
        <v>45191</v>
      </c>
      <c r="B184">
        <v>383</v>
      </c>
      <c r="C184">
        <v>7683.89990234375</v>
      </c>
      <c r="D184">
        <v>-2.9584151105282935E-2</v>
      </c>
      <c r="E184">
        <v>6.8996646349870109E-4</v>
      </c>
    </row>
    <row r="185" spans="1:5">
      <c r="A185" s="5">
        <v>45194</v>
      </c>
      <c r="B185" s="6" t="s">
        <v>340</v>
      </c>
      <c r="C185">
        <v>7624</v>
      </c>
      <c r="D185">
        <v>9.8727428394668158E-3</v>
      </c>
      <c r="E185">
        <v>-7.8260517053423354E-3</v>
      </c>
    </row>
    <row r="186" spans="1:5">
      <c r="A186" s="5">
        <v>45195</v>
      </c>
      <c r="B186">
        <v>381</v>
      </c>
      <c r="C186">
        <v>7625.7001953125</v>
      </c>
      <c r="D186">
        <v>-1.510835689341177E-2</v>
      </c>
      <c r="E186">
        <v>2.2298081900232089E-4</v>
      </c>
    </row>
    <row r="187" spans="1:5">
      <c r="A187" s="5">
        <v>45196</v>
      </c>
      <c r="B187" s="6" t="s">
        <v>341</v>
      </c>
      <c r="C187">
        <v>7593.2001953125</v>
      </c>
      <c r="D187">
        <v>1.5883698224185332E-2</v>
      </c>
      <c r="E187">
        <v>-4.2710115146262183E-3</v>
      </c>
    </row>
    <row r="188" spans="1:5">
      <c r="A188" s="5">
        <v>45197</v>
      </c>
      <c r="B188" s="6" t="s">
        <v>342</v>
      </c>
      <c r="C188">
        <v>7601.89990234375</v>
      </c>
      <c r="D188">
        <v>6.9506824064340736E-3</v>
      </c>
      <c r="E188">
        <v>1.1450675449207191E-3</v>
      </c>
    </row>
    <row r="189" spans="1:5">
      <c r="A189" s="5">
        <v>45198</v>
      </c>
      <c r="B189">
        <v>384.5</v>
      </c>
      <c r="C189">
        <v>7608.10009765625</v>
      </c>
      <c r="D189">
        <v>-1.3689966811621598E-2</v>
      </c>
      <c r="E189">
        <v>8.1527885022069627E-4</v>
      </c>
    </row>
    <row r="190" spans="1:5">
      <c r="A190" s="5">
        <v>45201</v>
      </c>
      <c r="B190" s="6" t="s">
        <v>343</v>
      </c>
      <c r="C190">
        <v>7510.7001953125</v>
      </c>
      <c r="D190">
        <v>-4.1699464026840041E-3</v>
      </c>
      <c r="E190">
        <v>-1.2884785559908725E-2</v>
      </c>
    </row>
    <row r="191" spans="1:5">
      <c r="A191" s="5">
        <v>45202</v>
      </c>
      <c r="B191" s="6" t="s">
        <v>344</v>
      </c>
      <c r="C191">
        <v>7470.2001953125</v>
      </c>
      <c r="D191">
        <v>-1.1822021495089688E-2</v>
      </c>
      <c r="E191">
        <v>-5.4068977979297491E-3</v>
      </c>
    </row>
    <row r="192" spans="1:5">
      <c r="A192" s="5">
        <v>45203</v>
      </c>
      <c r="B192" s="6" t="s">
        <v>345</v>
      </c>
      <c r="C192">
        <v>7412.5</v>
      </c>
      <c r="D192">
        <v>-1.0894238750502995E-2</v>
      </c>
      <c r="E192">
        <v>-7.754034369736219E-3</v>
      </c>
    </row>
    <row r="193" spans="1:5">
      <c r="A193" s="5">
        <v>45204</v>
      </c>
      <c r="B193" s="6" t="s">
        <v>346</v>
      </c>
      <c r="C193">
        <v>7451.5</v>
      </c>
      <c r="D193">
        <v>1.1686784844367491E-2</v>
      </c>
      <c r="E193">
        <v>5.2475900828666414E-3</v>
      </c>
    </row>
    <row r="194" spans="1:5">
      <c r="A194" s="5">
        <v>45205</v>
      </c>
      <c r="B194" s="6" t="s">
        <v>347</v>
      </c>
      <c r="C194">
        <v>7494.60009765625</v>
      </c>
      <c r="D194">
        <v>2.5291353560870478E-2</v>
      </c>
      <c r="E194">
        <v>5.7674198412862145E-3</v>
      </c>
    </row>
    <row r="195" spans="1:5">
      <c r="A195" s="5">
        <v>45208</v>
      </c>
      <c r="B195" s="6" t="s">
        <v>348</v>
      </c>
      <c r="C195">
        <v>7492.2001953125</v>
      </c>
      <c r="D195">
        <v>-1.8711516899971053E-2</v>
      </c>
      <c r="E195">
        <v>-3.2026881220129094E-4</v>
      </c>
    </row>
    <row r="196" spans="1:5">
      <c r="A196" s="5">
        <v>45209</v>
      </c>
      <c r="B196" s="6" t="s">
        <v>349</v>
      </c>
      <c r="C196">
        <v>7628.2001953125</v>
      </c>
      <c r="D196">
        <v>1.7423354908466821E-2</v>
      </c>
      <c r="E196">
        <v>1.7989426755117735E-2</v>
      </c>
    </row>
    <row r="197" spans="1:5">
      <c r="A197" s="5">
        <v>45210</v>
      </c>
      <c r="B197" s="6" t="s">
        <v>350</v>
      </c>
      <c r="C197">
        <v>7620</v>
      </c>
      <c r="D197">
        <v>5.6555734474832663E-3</v>
      </c>
      <c r="E197">
        <v>-1.0755624923581102E-3</v>
      </c>
    </row>
    <row r="198" spans="1:5">
      <c r="A198" s="5">
        <v>45211</v>
      </c>
      <c r="B198">
        <v>381</v>
      </c>
      <c r="C198">
        <v>7644.7998046875</v>
      </c>
      <c r="D198">
        <v>-2.3603757031938042E-2</v>
      </c>
      <c r="E198">
        <v>3.2492829023862122E-3</v>
      </c>
    </row>
    <row r="199" spans="1:5">
      <c r="A199" s="5">
        <v>45212</v>
      </c>
      <c r="B199">
        <v>379.5</v>
      </c>
      <c r="C199">
        <v>7599.60009765625</v>
      </c>
      <c r="D199">
        <v>-3.9447782910163407E-3</v>
      </c>
      <c r="E199">
        <v>-5.9300254225102874E-3</v>
      </c>
    </row>
    <row r="200" spans="1:5">
      <c r="A200" s="5">
        <v>45215</v>
      </c>
      <c r="B200" s="6" t="s">
        <v>351</v>
      </c>
      <c r="C200">
        <v>7630.60009765625</v>
      </c>
      <c r="D200">
        <v>1.9311649095347962E-2</v>
      </c>
      <c r="E200">
        <v>4.0708647835599292E-3</v>
      </c>
    </row>
    <row r="201" spans="1:5">
      <c r="A201" s="5">
        <v>45216</v>
      </c>
      <c r="B201" s="6" t="s">
        <v>352</v>
      </c>
      <c r="C201">
        <v>7675.2001953125</v>
      </c>
      <c r="D201">
        <v>2.1478693491183681E-2</v>
      </c>
      <c r="E201">
        <v>5.8278852508910481E-3</v>
      </c>
    </row>
    <row r="202" spans="1:5">
      <c r="A202" s="5">
        <v>45217</v>
      </c>
      <c r="B202">
        <v>402</v>
      </c>
      <c r="C202">
        <v>7588</v>
      </c>
      <c r="D202">
        <v>1.6807149196804795E-2</v>
      </c>
      <c r="E202">
        <v>-1.1426325140113951E-2</v>
      </c>
    </row>
    <row r="203" spans="1:5">
      <c r="A203" s="5">
        <v>45218</v>
      </c>
      <c r="B203" s="6" t="s">
        <v>353</v>
      </c>
      <c r="C203">
        <v>7499.5</v>
      </c>
      <c r="D203">
        <v>-2.9792629145973689E-2</v>
      </c>
      <c r="E203">
        <v>-1.1731700419490671E-2</v>
      </c>
    </row>
    <row r="204" spans="1:5">
      <c r="A204" s="5">
        <v>45219</v>
      </c>
      <c r="B204" s="6" t="s">
        <v>320</v>
      </c>
      <c r="C204">
        <v>7402.10009765625</v>
      </c>
      <c r="D204">
        <v>2.1549825531345115E-2</v>
      </c>
      <c r="E204">
        <v>-1.3072594725324373E-2</v>
      </c>
    </row>
    <row r="205" spans="1:5">
      <c r="A205" s="5">
        <v>45222</v>
      </c>
      <c r="B205" s="6" t="s">
        <v>354</v>
      </c>
      <c r="C205">
        <v>7374.7998046875</v>
      </c>
      <c r="D205">
        <v>6.4999618497608115E-3</v>
      </c>
      <c r="E205">
        <v>-3.6950001976235238E-3</v>
      </c>
    </row>
    <row r="206" spans="1:5">
      <c r="A206" s="5">
        <v>45223</v>
      </c>
      <c r="B206" s="6" t="s">
        <v>355</v>
      </c>
      <c r="C206">
        <v>7389.7001953125</v>
      </c>
      <c r="D206">
        <v>-2.1663254185312685E-2</v>
      </c>
      <c r="E206">
        <v>2.0184084369464631E-3</v>
      </c>
    </row>
    <row r="207" spans="1:5">
      <c r="A207" s="5">
        <v>45224</v>
      </c>
      <c r="B207" s="6" t="s">
        <v>356</v>
      </c>
      <c r="C207">
        <v>7414.2998046875</v>
      </c>
      <c r="D207">
        <v>4.8266163872759203E-3</v>
      </c>
      <c r="E207">
        <v>3.3233763869951758E-3</v>
      </c>
    </row>
    <row r="208" spans="1:5">
      <c r="A208" s="5">
        <v>45225</v>
      </c>
      <c r="B208" s="6" t="s">
        <v>357</v>
      </c>
      <c r="C208">
        <v>7354.60009765625</v>
      </c>
      <c r="D208">
        <v>-7.3763372200953657E-3</v>
      </c>
      <c r="E208">
        <v>-8.0845604737849117E-3</v>
      </c>
    </row>
    <row r="209" spans="1:5">
      <c r="A209" s="5">
        <v>45226</v>
      </c>
      <c r="B209" s="6" t="s">
        <v>358</v>
      </c>
      <c r="C209">
        <v>7291.2998046875</v>
      </c>
      <c r="D209">
        <v>-1.5695693271011332E-2</v>
      </c>
      <c r="E209">
        <v>-8.6441512706339433E-3</v>
      </c>
    </row>
    <row r="210" spans="1:5">
      <c r="A210" s="5">
        <v>45229</v>
      </c>
      <c r="B210" s="6" t="s">
        <v>359</v>
      </c>
      <c r="C210">
        <v>7327.39990234375</v>
      </c>
      <c r="D210">
        <v>6.4624755365078682E-3</v>
      </c>
      <c r="E210">
        <v>4.9389031530104712E-3</v>
      </c>
    </row>
    <row r="211" spans="1:5">
      <c r="A211" s="5">
        <v>45230</v>
      </c>
      <c r="B211" s="6" t="s">
        <v>360</v>
      </c>
      <c r="C211">
        <v>7321.7001953125</v>
      </c>
      <c r="D211">
        <v>1.863484119869218E-2</v>
      </c>
      <c r="E211">
        <v>-7.7816484027968548E-4</v>
      </c>
    </row>
    <row r="212" spans="1:5">
      <c r="A212" s="5">
        <v>45231</v>
      </c>
      <c r="B212">
        <v>365</v>
      </c>
      <c r="C212">
        <v>7342.39990234375</v>
      </c>
      <c r="D212">
        <v>-8.0000541717718282E-2</v>
      </c>
      <c r="E212">
        <v>2.8231832355315677E-3</v>
      </c>
    </row>
    <row r="213" spans="1:5">
      <c r="A213" s="5">
        <v>45232</v>
      </c>
      <c r="B213" s="6" t="s">
        <v>361</v>
      </c>
      <c r="C213">
        <v>7446.5</v>
      </c>
      <c r="D213">
        <v>-6.0456689882339302E-3</v>
      </c>
      <c r="E213">
        <v>1.4078371985670569E-2</v>
      </c>
    </row>
    <row r="214" spans="1:5">
      <c r="A214" s="5">
        <v>45233</v>
      </c>
      <c r="B214">
        <v>372</v>
      </c>
      <c r="C214">
        <v>7417.7001953125</v>
      </c>
      <c r="D214">
        <v>2.5042169678888924E-2</v>
      </c>
      <c r="E214">
        <v>-3.8750609312920973E-3</v>
      </c>
    </row>
    <row r="215" spans="1:5">
      <c r="A215" s="5">
        <v>45236</v>
      </c>
      <c r="B215" s="6" t="s">
        <v>362</v>
      </c>
      <c r="C215">
        <v>7417.7998046875</v>
      </c>
      <c r="D215">
        <v>4.648338939569218E-2</v>
      </c>
      <c r="E215">
        <v>1.3428516059628786E-5</v>
      </c>
    </row>
    <row r="216" spans="1:5">
      <c r="A216" s="5">
        <v>45237</v>
      </c>
      <c r="B216" s="6" t="s">
        <v>363</v>
      </c>
      <c r="C216">
        <v>7410</v>
      </c>
      <c r="D216">
        <v>2.0823458424723735E-2</v>
      </c>
      <c r="E216">
        <v>-1.0520516205573141E-3</v>
      </c>
    </row>
    <row r="217" spans="1:5">
      <c r="A217" s="5">
        <v>45238</v>
      </c>
      <c r="B217" s="6" t="s">
        <v>364</v>
      </c>
      <c r="C217">
        <v>7401.7001953125</v>
      </c>
      <c r="D217">
        <v>-1.5449227739404376E-2</v>
      </c>
      <c r="E217">
        <v>-1.1207093644566765E-3</v>
      </c>
    </row>
    <row r="218" spans="1:5">
      <c r="A218" s="5">
        <v>45239</v>
      </c>
      <c r="B218" s="6" t="s">
        <v>365</v>
      </c>
      <c r="C218">
        <v>7455.7001953125</v>
      </c>
      <c r="D218">
        <v>-5.1054811170573948E-4</v>
      </c>
      <c r="E218">
        <v>7.2691367751570478E-3</v>
      </c>
    </row>
    <row r="219" spans="1:5">
      <c r="A219" s="5">
        <v>45240</v>
      </c>
      <c r="B219" s="6" t="s">
        <v>366</v>
      </c>
      <c r="C219">
        <v>7360.60009765625</v>
      </c>
      <c r="D219">
        <v>-5.8907029824035746E-3</v>
      </c>
      <c r="E219">
        <v>-1.2837402294066496E-2</v>
      </c>
    </row>
    <row r="220" spans="1:5">
      <c r="A220" s="5">
        <v>45243</v>
      </c>
      <c r="B220" s="6" t="s">
        <v>367</v>
      </c>
      <c r="C220">
        <v>7425.7998046875</v>
      </c>
      <c r="D220">
        <v>-1.7360150301163457E-2</v>
      </c>
      <c r="E220">
        <v>8.8189322660180893E-3</v>
      </c>
    </row>
    <row r="221" spans="1:5">
      <c r="A221" s="5">
        <v>45244</v>
      </c>
      <c r="B221" s="6" t="s">
        <v>368</v>
      </c>
      <c r="C221">
        <v>7440.5</v>
      </c>
      <c r="D221">
        <v>3.3413542218174178E-2</v>
      </c>
      <c r="E221">
        <v>1.9776541973201786E-3</v>
      </c>
    </row>
    <row r="222" spans="1:5">
      <c r="A222" s="5">
        <v>45245</v>
      </c>
      <c r="B222" s="6" t="s">
        <v>368</v>
      </c>
      <c r="C222">
        <v>7486.89990234375</v>
      </c>
      <c r="D222">
        <v>0</v>
      </c>
      <c r="E222">
        <v>6.216762743192039E-3</v>
      </c>
    </row>
    <row r="223" spans="1:5">
      <c r="A223" s="5">
        <v>45246</v>
      </c>
      <c r="B223" s="6" t="s">
        <v>369</v>
      </c>
      <c r="C223">
        <v>7411</v>
      </c>
      <c r="D223">
        <v>-3.4459551432030132E-2</v>
      </c>
      <c r="E223">
        <v>-1.0189430661938191E-2</v>
      </c>
    </row>
    <row r="224" spans="1:5">
      <c r="A224" s="5">
        <v>45247</v>
      </c>
      <c r="B224" s="6" t="s">
        <v>370</v>
      </c>
      <c r="C224">
        <v>7504.2998046875</v>
      </c>
      <c r="D224">
        <v>1.789233193171744E-2</v>
      </c>
      <c r="E224">
        <v>1.2510780586869078E-2</v>
      </c>
    </row>
    <row r="225" spans="1:5">
      <c r="A225" s="5">
        <v>45250</v>
      </c>
      <c r="B225" s="6" t="s">
        <v>371</v>
      </c>
      <c r="C225">
        <v>7496.39990234375</v>
      </c>
      <c r="D225">
        <v>-3.8624999131914735E-3</v>
      </c>
      <c r="E225">
        <v>-1.0532712777898462E-3</v>
      </c>
    </row>
    <row r="226" spans="1:5">
      <c r="A226" s="5">
        <v>45251</v>
      </c>
      <c r="B226" s="6" t="s">
        <v>371</v>
      </c>
      <c r="C226">
        <v>7482</v>
      </c>
      <c r="D226">
        <v>0</v>
      </c>
      <c r="E226">
        <v>-1.9227563523467137E-3</v>
      </c>
    </row>
    <row r="227" spans="1:5">
      <c r="A227" s="5">
        <v>45252</v>
      </c>
      <c r="B227" s="6" t="s">
        <v>340</v>
      </c>
      <c r="C227">
        <v>7469.5</v>
      </c>
      <c r="D227">
        <v>-2.0661637434425516E-3</v>
      </c>
      <c r="E227">
        <v>-1.6720734257195118E-3</v>
      </c>
    </row>
    <row r="228" spans="1:5">
      <c r="A228" s="5">
        <v>45253</v>
      </c>
      <c r="B228" s="6" t="s">
        <v>346</v>
      </c>
      <c r="C228">
        <v>7483.60009765625</v>
      </c>
      <c r="D228">
        <v>-2.1163364878323376E-2</v>
      </c>
      <c r="E228">
        <v>1.885910178259322E-3</v>
      </c>
    </row>
    <row r="229" spans="1:5">
      <c r="A229" s="5">
        <v>45254</v>
      </c>
      <c r="B229" s="6" t="s">
        <v>302</v>
      </c>
      <c r="C229">
        <v>7488.2001953125</v>
      </c>
      <c r="D229">
        <v>-7.4212328087299509E-3</v>
      </c>
      <c r="E229">
        <v>6.1450162451939826E-4</v>
      </c>
    </row>
    <row r="230" spans="1:5">
      <c r="A230" s="5">
        <v>45257</v>
      </c>
      <c r="B230" s="6" t="s">
        <v>372</v>
      </c>
      <c r="C230">
        <v>7460.7001953125</v>
      </c>
      <c r="D230">
        <v>2.9876420669362892E-2</v>
      </c>
      <c r="E230">
        <v>-3.6792045304536686E-3</v>
      </c>
    </row>
    <row r="231" spans="1:5">
      <c r="A231" s="5">
        <v>45258</v>
      </c>
      <c r="B231" s="6" t="s">
        <v>373</v>
      </c>
      <c r="C231">
        <v>7455.2001953125</v>
      </c>
      <c r="D231">
        <v>5.4075222615225724E-3</v>
      </c>
      <c r="E231">
        <v>-7.374680850947107E-4</v>
      </c>
    </row>
    <row r="232" spans="1:5">
      <c r="A232" s="5">
        <v>45259</v>
      </c>
      <c r="B232" s="6" t="s">
        <v>356</v>
      </c>
      <c r="C232">
        <v>7423.5</v>
      </c>
      <c r="D232">
        <v>1.3265531792171393E-2</v>
      </c>
      <c r="E232">
        <v>-4.2611576095519885E-3</v>
      </c>
    </row>
    <row r="233" spans="1:5">
      <c r="A233" s="5">
        <v>45260</v>
      </c>
      <c r="B233" s="6" t="s">
        <v>374</v>
      </c>
      <c r="C233">
        <v>7453.7998046875</v>
      </c>
      <c r="D233">
        <v>-3.2190238629654373E-2</v>
      </c>
      <c r="E233">
        <v>4.0732991845578185E-3</v>
      </c>
    </row>
    <row r="234" spans="1:5">
      <c r="A234" s="5">
        <v>45261</v>
      </c>
      <c r="B234" s="6" t="s">
        <v>372</v>
      </c>
      <c r="C234">
        <v>7529.39990234375</v>
      </c>
      <c r="D234">
        <v>1.3517184575960156E-2</v>
      </c>
      <c r="E234">
        <v>1.0091401129718068E-2</v>
      </c>
    </row>
    <row r="235" spans="1:5">
      <c r="A235" s="5">
        <v>45264</v>
      </c>
      <c r="B235" s="6" t="s">
        <v>375</v>
      </c>
      <c r="C235">
        <v>7513</v>
      </c>
      <c r="D235">
        <v>4.1226704649730585E-3</v>
      </c>
      <c r="E235">
        <v>-2.1804910051657243E-3</v>
      </c>
    </row>
    <row r="236" spans="1:5">
      <c r="A236" s="5">
        <v>45265</v>
      </c>
      <c r="B236" s="6" t="s">
        <v>376</v>
      </c>
      <c r="C236">
        <v>7489.7998046875</v>
      </c>
      <c r="D236">
        <v>-9.5595138533131202E-3</v>
      </c>
      <c r="E236">
        <v>-3.0927845612322763E-3</v>
      </c>
    </row>
    <row r="237" spans="1:5">
      <c r="A237" s="5">
        <v>45266</v>
      </c>
      <c r="B237" s="6" t="s">
        <v>377</v>
      </c>
      <c r="C237">
        <v>7515.39990234375</v>
      </c>
      <c r="D237">
        <v>3.0425441893346485E-2</v>
      </c>
      <c r="E237">
        <v>3.4121668480685706E-3</v>
      </c>
    </row>
    <row r="238" spans="1:5">
      <c r="A238" s="5">
        <v>45267</v>
      </c>
      <c r="B238">
        <v>393.5</v>
      </c>
      <c r="C238">
        <v>7513.7001953125</v>
      </c>
      <c r="D238">
        <v>-9.1070856499709512E-3</v>
      </c>
      <c r="E238">
        <v>-2.261887973933426E-4</v>
      </c>
    </row>
    <row r="239" spans="1:5">
      <c r="A239" s="5">
        <v>45268</v>
      </c>
      <c r="B239" s="6" t="s">
        <v>378</v>
      </c>
      <c r="C239">
        <v>7554.5</v>
      </c>
      <c r="D239">
        <v>-7.6264853909788449E-4</v>
      </c>
      <c r="E239">
        <v>5.4153653212921189E-3</v>
      </c>
    </row>
    <row r="240" spans="1:5">
      <c r="A240" s="5">
        <v>45271</v>
      </c>
      <c r="B240" s="6" t="s">
        <v>379</v>
      </c>
      <c r="C240">
        <v>7544.89990234375</v>
      </c>
      <c r="D240">
        <v>1.7646033333599494E-2</v>
      </c>
      <c r="E240">
        <v>-1.2715868195952945E-3</v>
      </c>
    </row>
    <row r="241" spans="1:5">
      <c r="A241" s="5">
        <v>45272</v>
      </c>
      <c r="B241" s="6" t="s">
        <v>347</v>
      </c>
      <c r="C241">
        <v>7542.7998046875</v>
      </c>
      <c r="D241">
        <v>-2.9928731949299639E-2</v>
      </c>
      <c r="E241">
        <v>-2.7838540143187784E-4</v>
      </c>
    </row>
    <row r="242" spans="1:5">
      <c r="A242" s="5">
        <v>45273</v>
      </c>
      <c r="B242" s="6" t="s">
        <v>357</v>
      </c>
      <c r="C242">
        <v>7548.39990234375</v>
      </c>
      <c r="D242">
        <v>8.4605511333612129E-3</v>
      </c>
      <c r="E242">
        <v>7.4216735872780545E-4</v>
      </c>
    </row>
    <row r="243" spans="1:5">
      <c r="A243" s="5">
        <v>45274</v>
      </c>
      <c r="B243" s="6" t="s">
        <v>380</v>
      </c>
      <c r="C243">
        <v>7649</v>
      </c>
      <c r="D243">
        <v>2.3714516156928461E-2</v>
      </c>
      <c r="E243">
        <v>1.3239313004269804E-2</v>
      </c>
    </row>
    <row r="244" spans="1:5">
      <c r="A244" s="5">
        <v>45275</v>
      </c>
      <c r="B244">
        <v>404.5</v>
      </c>
      <c r="C244">
        <v>7576.39990234375</v>
      </c>
      <c r="D244">
        <v>8.4409485055968406E-3</v>
      </c>
      <c r="E244">
        <v>-9.5367804288115626E-3</v>
      </c>
    </row>
    <row r="245" spans="1:5">
      <c r="A245" s="5">
        <v>45278</v>
      </c>
      <c r="B245">
        <v>415</v>
      </c>
      <c r="C245">
        <v>7614.5</v>
      </c>
      <c r="D245">
        <v>2.5626783732151819E-2</v>
      </c>
      <c r="E245">
        <v>5.0161843986911234E-3</v>
      </c>
    </row>
    <row r="246" spans="1:5">
      <c r="A246" s="5">
        <v>45279</v>
      </c>
      <c r="B246">
        <v>425</v>
      </c>
      <c r="C246">
        <v>7638</v>
      </c>
      <c r="D246">
        <v>2.3810648693718607E-2</v>
      </c>
      <c r="E246">
        <v>3.0814644937158676E-3</v>
      </c>
    </row>
    <row r="247" spans="1:5">
      <c r="A247" s="5">
        <v>45280</v>
      </c>
      <c r="B247" s="6" t="s">
        <v>381</v>
      </c>
      <c r="C247">
        <v>7715.7001953125</v>
      </c>
      <c r="D247">
        <v>9.8338702734850451E-3</v>
      </c>
      <c r="E247">
        <v>1.0121450549114052E-2</v>
      </c>
    </row>
    <row r="248" spans="1:5">
      <c r="A248" s="5">
        <v>45281</v>
      </c>
      <c r="B248" s="6" t="s">
        <v>382</v>
      </c>
      <c r="C248">
        <v>7694.7001953125</v>
      </c>
      <c r="D248">
        <v>-8.8931507794747736E-3</v>
      </c>
      <c r="E248">
        <v>-2.7254337936288339E-3</v>
      </c>
    </row>
    <row r="249" spans="1:5">
      <c r="A249" s="5">
        <v>45282</v>
      </c>
      <c r="B249" s="6" t="s">
        <v>383</v>
      </c>
      <c r="C249">
        <v>7697.5</v>
      </c>
      <c r="D249">
        <v>4.7006394997440763E-4</v>
      </c>
      <c r="E249">
        <v>3.6379525770869974E-4</v>
      </c>
    </row>
    <row r="250" spans="1:5">
      <c r="A250" s="5">
        <v>45287</v>
      </c>
      <c r="B250" s="6" t="s">
        <v>384</v>
      </c>
      <c r="C250">
        <v>7725</v>
      </c>
      <c r="D250">
        <v>1.6433427679250982E-3</v>
      </c>
      <c r="E250">
        <v>3.5662219672907905E-3</v>
      </c>
    </row>
    <row r="251" spans="1:5">
      <c r="A251" s="5">
        <v>45288</v>
      </c>
      <c r="B251">
        <v>425.5</v>
      </c>
      <c r="C251">
        <v>7722.7001953125</v>
      </c>
      <c r="D251">
        <v>-1.8783471228978111E-3</v>
      </c>
      <c r="E251">
        <v>-2.977536688845486E-4</v>
      </c>
    </row>
    <row r="252" spans="1:5">
      <c r="A252" s="5">
        <v>45289</v>
      </c>
      <c r="B252" s="6" t="s">
        <v>385</v>
      </c>
      <c r="C252">
        <v>7733.2001953125</v>
      </c>
      <c r="D252">
        <v>4.6995349587422656E-4</v>
      </c>
      <c r="E252">
        <v>1.3587046176472711E-3</v>
      </c>
    </row>
    <row r="253" spans="1:5">
      <c r="A253" s="5">
        <v>45293</v>
      </c>
      <c r="B253">
        <v>396.5</v>
      </c>
      <c r="C253">
        <v>7721.5</v>
      </c>
      <c r="D253">
        <v>-7.1058860434400323E-2</v>
      </c>
      <c r="E253">
        <v>-1.5141280516531473E-3</v>
      </c>
    </row>
    <row r="254" spans="1:5">
      <c r="A254" s="5">
        <v>45294</v>
      </c>
      <c r="B254" s="6" t="s">
        <v>347</v>
      </c>
      <c r="C254">
        <v>7682.2998046875</v>
      </c>
      <c r="D254">
        <v>-2.0640320372242792E-2</v>
      </c>
      <c r="E254">
        <v>-5.0896896133071556E-3</v>
      </c>
    </row>
    <row r="255" spans="1:5">
      <c r="A255" s="5">
        <v>45295</v>
      </c>
      <c r="B255" s="6" t="s">
        <v>386</v>
      </c>
      <c r="C255">
        <v>7723.10009765625</v>
      </c>
      <c r="D255">
        <v>1.1519390327227182E-2</v>
      </c>
      <c r="E255">
        <v>5.2968944165208134E-3</v>
      </c>
    </row>
    <row r="256" spans="1:5">
      <c r="A256" s="5">
        <v>45296</v>
      </c>
      <c r="B256" s="6" t="s">
        <v>371</v>
      </c>
      <c r="C256">
        <v>7689.60009765625</v>
      </c>
      <c r="D256">
        <v>-1.3581215266331667E-2</v>
      </c>
      <c r="E256">
        <v>-4.3470712243369267E-3</v>
      </c>
    </row>
    <row r="257" spans="1:5">
      <c r="A257" s="5">
        <v>45299</v>
      </c>
      <c r="B257">
        <v>388.5</v>
      </c>
      <c r="C257">
        <v>7694.2001953125</v>
      </c>
      <c r="D257">
        <v>2.3192740441467016E-3</v>
      </c>
      <c r="E257">
        <v>5.9804439810077852E-4</v>
      </c>
    </row>
    <row r="258" spans="1:5">
      <c r="A258" s="5">
        <v>45300</v>
      </c>
      <c r="B258">
        <v>386</v>
      </c>
      <c r="C258">
        <v>7684</v>
      </c>
      <c r="D258">
        <v>-6.4558003428712204E-3</v>
      </c>
      <c r="E258">
        <v>-1.3265787515859121E-3</v>
      </c>
    </row>
    <row r="259" spans="1:5">
      <c r="A259" s="5">
        <v>45301</v>
      </c>
      <c r="B259">
        <v>386</v>
      </c>
      <c r="C259">
        <v>7651.7998046875</v>
      </c>
      <c r="D259">
        <v>0</v>
      </c>
      <c r="E259">
        <v>-4.1993561525783723E-3</v>
      </c>
    </row>
    <row r="260" spans="1:5">
      <c r="A260" s="5">
        <v>45302</v>
      </c>
      <c r="B260">
        <v>384</v>
      </c>
      <c r="C260">
        <v>7576.60009765625</v>
      </c>
      <c r="D260">
        <v>-5.1948168771040228E-3</v>
      </c>
      <c r="E260">
        <v>-9.8763256510357063E-3</v>
      </c>
    </row>
    <row r="261" spans="1:5">
      <c r="A261" s="5">
        <v>45303</v>
      </c>
      <c r="B261" s="6" t="s">
        <v>387</v>
      </c>
      <c r="C261">
        <v>7624.89990234375</v>
      </c>
      <c r="D261">
        <v>-7.0561177384533833E-3</v>
      </c>
      <c r="E261">
        <v>6.3546317431366073E-3</v>
      </c>
    </row>
    <row r="262" spans="1:5">
      <c r="A262" s="5">
        <v>45306</v>
      </c>
      <c r="B262">
        <v>385</v>
      </c>
      <c r="C262">
        <v>7594.89990234375</v>
      </c>
      <c r="D262">
        <v>9.6568994385106965E-3</v>
      </c>
      <c r="E262">
        <v>-3.9422382998569186E-3</v>
      </c>
    </row>
    <row r="263" spans="1:5">
      <c r="A263" s="5">
        <v>45307</v>
      </c>
      <c r="B263" s="6" t="s">
        <v>387</v>
      </c>
      <c r="C263">
        <v>7558.2998046875</v>
      </c>
      <c r="D263">
        <v>-9.6568994385107503E-3</v>
      </c>
      <c r="E263">
        <v>-4.83068520673746E-3</v>
      </c>
    </row>
    <row r="264" spans="1:5">
      <c r="A264" s="5">
        <v>45308</v>
      </c>
      <c r="B264">
        <v>381</v>
      </c>
      <c r="C264">
        <v>7446.2998046875</v>
      </c>
      <c r="D264">
        <v>-7.8705972257258521E-4</v>
      </c>
      <c r="E264">
        <v>-1.4929032841168813E-2</v>
      </c>
    </row>
    <row r="265" spans="1:5">
      <c r="A265" s="5">
        <v>45309</v>
      </c>
      <c r="B265" s="6" t="s">
        <v>388</v>
      </c>
      <c r="C265">
        <v>7459.10009765625</v>
      </c>
      <c r="D265">
        <v>3.6677900894686384E-3</v>
      </c>
      <c r="E265">
        <v>1.7175381001899189E-3</v>
      </c>
    </row>
    <row r="266" spans="1:5">
      <c r="A266" s="5">
        <v>45310</v>
      </c>
      <c r="B266" s="6" t="s">
        <v>389</v>
      </c>
      <c r="C266">
        <v>7461.89990234375</v>
      </c>
      <c r="D266">
        <v>-3.9471758130950073E-2</v>
      </c>
      <c r="E266">
        <v>3.7528379067895402E-4</v>
      </c>
    </row>
    <row r="267" spans="1:5">
      <c r="A267" s="5">
        <v>45313</v>
      </c>
      <c r="B267" s="6" t="s">
        <v>390</v>
      </c>
      <c r="C267">
        <v>7487.7001953125</v>
      </c>
      <c r="D267">
        <v>-4.9087044992346413E-3</v>
      </c>
      <c r="E267">
        <v>3.451639965645579E-3</v>
      </c>
    </row>
    <row r="268" spans="1:5">
      <c r="A268" s="5">
        <v>45314</v>
      </c>
      <c r="B268" s="6" t="s">
        <v>391</v>
      </c>
      <c r="C268">
        <v>7485.7001953125</v>
      </c>
      <c r="D268">
        <v>2.0027799096290256E-2</v>
      </c>
      <c r="E268">
        <v>-2.6714039025443556E-4</v>
      </c>
    </row>
    <row r="269" spans="1:5">
      <c r="A269" s="5">
        <v>45315</v>
      </c>
      <c r="B269" s="6" t="s">
        <v>392</v>
      </c>
      <c r="C269">
        <v>7527.7001953125</v>
      </c>
      <c r="D269">
        <v>6.9425528143024521E-3</v>
      </c>
      <c r="E269">
        <v>5.5950162484033486E-3</v>
      </c>
    </row>
    <row r="270" spans="1:5">
      <c r="A270" s="5">
        <v>45316</v>
      </c>
      <c r="B270" s="6" t="s">
        <v>393</v>
      </c>
      <c r="C270">
        <v>7529.7001953125</v>
      </c>
      <c r="D270">
        <v>1.2166260129663707E-2</v>
      </c>
      <c r="E270">
        <v>2.6565010690790796E-4</v>
      </c>
    </row>
    <row r="271" spans="1:5">
      <c r="A271" s="5">
        <v>45317</v>
      </c>
      <c r="B271" s="6" t="s">
        <v>394</v>
      </c>
      <c r="C271">
        <v>7635.10009765625</v>
      </c>
      <c r="D271">
        <v>-1.1368232921512551E-2</v>
      </c>
      <c r="E271">
        <v>1.3900822632565488E-2</v>
      </c>
    </row>
    <row r="272" spans="1:5">
      <c r="A272" s="5">
        <v>45320</v>
      </c>
      <c r="B272" s="6" t="s">
        <v>395</v>
      </c>
      <c r="C272">
        <v>7632.7001953125</v>
      </c>
      <c r="D272">
        <v>1.2419189156201407E-2</v>
      </c>
      <c r="E272">
        <v>-3.1437434567710068E-4</v>
      </c>
    </row>
    <row r="273" spans="1:5">
      <c r="A273" s="5">
        <v>45321</v>
      </c>
      <c r="B273" s="6" t="s">
        <v>324</v>
      </c>
      <c r="C273">
        <v>7666.2998046875</v>
      </c>
      <c r="D273">
        <v>-6.8510823599177255E-3</v>
      </c>
      <c r="E273">
        <v>4.3923999470882064E-3</v>
      </c>
    </row>
    <row r="274" spans="1:5">
      <c r="A274" s="5">
        <v>45322</v>
      </c>
      <c r="B274">
        <v>369.5</v>
      </c>
      <c r="C274">
        <v>7630.60009765625</v>
      </c>
      <c r="D274">
        <v>-2.3272448112756045E-2</v>
      </c>
      <c r="E274">
        <v>-4.6675825916267632E-3</v>
      </c>
    </row>
    <row r="275" spans="1:5">
      <c r="A275" s="5">
        <v>45323</v>
      </c>
      <c r="B275" s="6" t="s">
        <v>396</v>
      </c>
      <c r="C275">
        <v>7622.2001953125</v>
      </c>
      <c r="D275">
        <v>-2.2995795202281195E-2</v>
      </c>
      <c r="E275">
        <v>-1.1014243983522951E-3</v>
      </c>
    </row>
    <row r="276" spans="1:5">
      <c r="A276" s="5">
        <v>45324</v>
      </c>
      <c r="B276">
        <v>365</v>
      </c>
      <c r="C276">
        <v>7615.5</v>
      </c>
      <c r="D276">
        <v>1.0742408396516237E-2</v>
      </c>
      <c r="E276">
        <v>-8.7942349021679787E-4</v>
      </c>
    </row>
    <row r="277" spans="1:5">
      <c r="A277" s="5">
        <v>45327</v>
      </c>
      <c r="B277">
        <v>366</v>
      </c>
      <c r="C277">
        <v>7612.89990234375</v>
      </c>
      <c r="D277">
        <v>2.7359798188748455E-3</v>
      </c>
      <c r="E277">
        <v>-3.4148008959443383E-4</v>
      </c>
    </row>
    <row r="278" spans="1:5">
      <c r="A278" s="5">
        <v>45328</v>
      </c>
      <c r="B278" s="6" t="s">
        <v>397</v>
      </c>
      <c r="C278">
        <v>7681</v>
      </c>
      <c r="D278">
        <v>1.8140505836814175E-2</v>
      </c>
      <c r="E278">
        <v>8.9055830327177572E-3</v>
      </c>
    </row>
    <row r="279" spans="1:5">
      <c r="A279" s="5">
        <v>45329</v>
      </c>
      <c r="B279" s="6" t="s">
        <v>398</v>
      </c>
      <c r="C279">
        <v>7628.7998046875</v>
      </c>
      <c r="D279">
        <v>-1.6502487183597109E-2</v>
      </c>
      <c r="E279">
        <v>-6.8192136097561199E-3</v>
      </c>
    </row>
    <row r="280" spans="1:5">
      <c r="A280" s="5">
        <v>45330</v>
      </c>
      <c r="B280" s="6" t="s">
        <v>399</v>
      </c>
      <c r="C280">
        <v>7595.5</v>
      </c>
      <c r="D280">
        <v>8.1796267128731272E-4</v>
      </c>
      <c r="E280">
        <v>-4.374566741208505E-3</v>
      </c>
    </row>
    <row r="281" spans="1:5">
      <c r="A281" s="5">
        <v>45331</v>
      </c>
      <c r="B281" s="6" t="s">
        <v>400</v>
      </c>
      <c r="C281">
        <v>7572.60009765625</v>
      </c>
      <c r="D281">
        <v>1.4879214287364502E-2</v>
      </c>
      <c r="E281">
        <v>-3.0194842590775288E-3</v>
      </c>
    </row>
    <row r="282" spans="1:5">
      <c r="A282" s="5">
        <v>45334</v>
      </c>
      <c r="B282" s="6" t="s">
        <v>401</v>
      </c>
      <c r="C282">
        <v>7573.7001953125</v>
      </c>
      <c r="D282">
        <v>5.5874606193741808E-2</v>
      </c>
      <c r="E282">
        <v>1.4526288755736279E-4</v>
      </c>
    </row>
    <row r="283" spans="1:5">
      <c r="A283" s="5">
        <v>45335</v>
      </c>
      <c r="B283">
        <v>393.5</v>
      </c>
      <c r="C283">
        <v>7512.2998046875</v>
      </c>
      <c r="D283">
        <v>-7.6206734951893306E-4</v>
      </c>
      <c r="E283">
        <v>-8.140094082315549E-3</v>
      </c>
    </row>
    <row r="284" spans="1:5">
      <c r="A284" s="5">
        <v>45336</v>
      </c>
      <c r="B284" s="6" t="s">
        <v>402</v>
      </c>
      <c r="C284">
        <v>7568.39990234375</v>
      </c>
      <c r="D284">
        <v>1.6133432732709983E-2</v>
      </c>
      <c r="E284">
        <v>7.4400203605673506E-3</v>
      </c>
    </row>
    <row r="285" spans="1:5">
      <c r="A285" s="5">
        <v>45337</v>
      </c>
      <c r="B285" s="6" t="s">
        <v>403</v>
      </c>
      <c r="C285">
        <v>7597.5</v>
      </c>
      <c r="D285">
        <v>-2.5010905671315147E-4</v>
      </c>
      <c r="E285">
        <v>3.8375742364989409E-3</v>
      </c>
    </row>
    <row r="286" spans="1:5">
      <c r="A286" s="5">
        <v>45338</v>
      </c>
      <c r="B286">
        <v>400</v>
      </c>
      <c r="C286">
        <v>7711.7001953125</v>
      </c>
      <c r="D286">
        <v>5.0015557452721504E-4</v>
      </c>
      <c r="E286">
        <v>1.4919435654630706E-2</v>
      </c>
    </row>
    <row r="287" spans="1:5">
      <c r="A287" s="5">
        <v>45341</v>
      </c>
      <c r="B287" s="6" t="s">
        <v>404</v>
      </c>
      <c r="C287">
        <v>7728.5</v>
      </c>
      <c r="D287">
        <v>-5.7629096672665019E-2</v>
      </c>
      <c r="E287">
        <v>2.1761131467944333E-3</v>
      </c>
    </row>
    <row r="288" spans="1:5">
      <c r="A288" s="5">
        <v>45342</v>
      </c>
      <c r="B288">
        <v>376</v>
      </c>
      <c r="C288">
        <v>7719.2001953125</v>
      </c>
      <c r="D288">
        <v>-4.2463070454224691E-3</v>
      </c>
      <c r="E288">
        <v>-1.2040375840309397E-3</v>
      </c>
    </row>
    <row r="289" spans="1:5">
      <c r="A289" s="5">
        <v>45343</v>
      </c>
      <c r="B289" s="6" t="s">
        <v>405</v>
      </c>
      <c r="C289">
        <v>7662.5</v>
      </c>
      <c r="D289">
        <v>-1.6626857446690065E-2</v>
      </c>
      <c r="E289">
        <v>-7.3724557638755236E-3</v>
      </c>
    </row>
    <row r="290" spans="1:5">
      <c r="A290" s="5">
        <v>45344</v>
      </c>
      <c r="B290" s="6" t="s">
        <v>406</v>
      </c>
      <c r="C290">
        <v>7684.5</v>
      </c>
      <c r="D290">
        <v>-4.6076289770946187E-3</v>
      </c>
      <c r="E290">
        <v>2.8670118028998335E-3</v>
      </c>
    </row>
    <row r="291" spans="1:5">
      <c r="A291" s="5">
        <v>45345</v>
      </c>
      <c r="B291" s="6" t="s">
        <v>407</v>
      </c>
      <c r="C291">
        <v>7706.2998046875</v>
      </c>
      <c r="D291">
        <v>-2.1757373749871313E-3</v>
      </c>
      <c r="E291">
        <v>2.8328377397803988E-3</v>
      </c>
    </row>
    <row r="292" spans="1:5">
      <c r="A292" s="5">
        <v>45348</v>
      </c>
      <c r="B292" s="6" t="s">
        <v>408</v>
      </c>
      <c r="C292">
        <v>7684.2998046875</v>
      </c>
      <c r="D292">
        <v>-6.8296948532037124E-3</v>
      </c>
      <c r="E292">
        <v>-2.8588899123711334E-3</v>
      </c>
    </row>
    <row r="293" spans="1:5">
      <c r="A293" s="5">
        <v>45349</v>
      </c>
      <c r="B293">
        <v>370.5</v>
      </c>
      <c r="C293">
        <v>7683</v>
      </c>
      <c r="D293">
        <v>1.5504219998222534E-2</v>
      </c>
      <c r="E293">
        <v>-1.691650071410652E-4</v>
      </c>
    </row>
    <row r="294" spans="1:5">
      <c r="A294" s="5">
        <v>45350</v>
      </c>
      <c r="B294" s="6" t="s">
        <v>345</v>
      </c>
      <c r="C294">
        <v>7625</v>
      </c>
      <c r="D294">
        <v>1.0204137561280278E-2</v>
      </c>
      <c r="E294">
        <v>-7.5777733920225987E-3</v>
      </c>
    </row>
    <row r="295" spans="1:5">
      <c r="A295" s="5">
        <v>45351</v>
      </c>
      <c r="B295">
        <v>377</v>
      </c>
      <c r="C295">
        <v>7630</v>
      </c>
      <c r="D295">
        <v>7.1876051505888362E-3</v>
      </c>
      <c r="E295">
        <v>6.5552280289039758E-4</v>
      </c>
    </row>
    <row r="296" spans="1:5">
      <c r="A296" s="5">
        <v>45352</v>
      </c>
      <c r="B296" s="6" t="s">
        <v>409</v>
      </c>
      <c r="C296">
        <v>7682.5</v>
      </c>
      <c r="D296">
        <v>-1.3620202928698401E-2</v>
      </c>
      <c r="E296">
        <v>6.8571697261370452E-3</v>
      </c>
    </row>
    <row r="297" spans="1:5">
      <c r="A297" s="5">
        <v>45355</v>
      </c>
      <c r="B297" s="6" t="s">
        <v>361</v>
      </c>
      <c r="C297">
        <v>7640.2998046875</v>
      </c>
      <c r="D297">
        <v>-2.4773299925054813E-2</v>
      </c>
      <c r="E297">
        <v>-5.5081711627556649E-3</v>
      </c>
    </row>
    <row r="298" spans="1:5">
      <c r="A298" s="5">
        <v>45356</v>
      </c>
      <c r="B298">
        <v>356</v>
      </c>
      <c r="C298">
        <v>7646.2001953125</v>
      </c>
      <c r="D298">
        <v>-1.8920953742227069E-2</v>
      </c>
      <c r="E298">
        <v>7.7197408406430069E-4</v>
      </c>
    </row>
    <row r="299" spans="1:5">
      <c r="A299" s="5">
        <v>45357</v>
      </c>
      <c r="B299" s="6" t="s">
        <v>410</v>
      </c>
      <c r="C299">
        <v>7679.2998046875</v>
      </c>
      <c r="D299">
        <v>3.3695571100208925E-2</v>
      </c>
      <c r="E299">
        <v>4.3195537947685334E-3</v>
      </c>
    </row>
    <row r="300" spans="1:5">
      <c r="A300" s="5">
        <v>45358</v>
      </c>
      <c r="B300" s="6" t="s">
        <v>411</v>
      </c>
      <c r="C300">
        <v>7692.5</v>
      </c>
      <c r="D300">
        <v>-2.1411793153449682E-2</v>
      </c>
      <c r="E300">
        <v>1.7174564754798402E-3</v>
      </c>
    </row>
    <row r="301" spans="1:5">
      <c r="A301" s="5">
        <v>45359</v>
      </c>
      <c r="B301" s="6" t="s">
        <v>412</v>
      </c>
      <c r="C301">
        <v>7659.7001953125</v>
      </c>
      <c r="D301">
        <v>-1.5660292768752752E-2</v>
      </c>
      <c r="E301">
        <v>-4.2729842206564606E-3</v>
      </c>
    </row>
    <row r="302" spans="1:5">
      <c r="A302" s="5">
        <v>45362</v>
      </c>
      <c r="B302" s="6" t="s">
        <v>413</v>
      </c>
      <c r="C302">
        <v>7669.2001953125</v>
      </c>
      <c r="D302">
        <v>-1.4192688342709311E-2</v>
      </c>
      <c r="E302">
        <v>1.2394889358239242E-3</v>
      </c>
    </row>
    <row r="303" spans="1:5">
      <c r="A303" s="5">
        <v>45363</v>
      </c>
      <c r="B303" s="6" t="s">
        <v>414</v>
      </c>
      <c r="C303">
        <v>7747.7998046875</v>
      </c>
      <c r="D303">
        <v>5.1326554829534514E-3</v>
      </c>
      <c r="E303">
        <v>1.0196573960527391E-2</v>
      </c>
    </row>
    <row r="304" spans="1:5">
      <c r="A304" s="5">
        <v>45364</v>
      </c>
      <c r="B304" s="6" t="s">
        <v>415</v>
      </c>
      <c r="C304">
        <v>7772.2001953125</v>
      </c>
      <c r="D304">
        <v>2.8401041035157389E-3</v>
      </c>
      <c r="E304">
        <v>3.1443828259248834E-3</v>
      </c>
    </row>
    <row r="305" spans="1:5">
      <c r="A305" s="5">
        <v>45365</v>
      </c>
      <c r="B305" s="6" t="s">
        <v>416</v>
      </c>
      <c r="C305">
        <v>7743.2001953125</v>
      </c>
      <c r="D305">
        <v>-2.5565067901479721E-2</v>
      </c>
      <c r="E305">
        <v>-3.7382256391933128E-3</v>
      </c>
    </row>
    <row r="306" spans="1:5">
      <c r="A306" s="5">
        <v>45366</v>
      </c>
      <c r="B306" s="6" t="s">
        <v>417</v>
      </c>
      <c r="C306">
        <v>7727.39990234375</v>
      </c>
      <c r="D306">
        <v>-8.7328868272096663E-4</v>
      </c>
      <c r="E306">
        <v>-2.0426225696031754E-3</v>
      </c>
    </row>
    <row r="307" spans="1:5">
      <c r="A307" s="5">
        <v>45369</v>
      </c>
      <c r="B307">
        <v>338</v>
      </c>
      <c r="C307">
        <v>7722.60009765625</v>
      </c>
      <c r="D307">
        <v>-1.5850035206577431E-2</v>
      </c>
      <c r="E307">
        <v>-6.2133396011854127E-4</v>
      </c>
    </row>
    <row r="308" spans="1:5">
      <c r="A308" s="5">
        <v>45370</v>
      </c>
      <c r="B308">
        <v>340</v>
      </c>
      <c r="C308">
        <v>7738.2998046875</v>
      </c>
      <c r="D308">
        <v>5.899722127188322E-3</v>
      </c>
      <c r="E308">
        <v>2.0308924482489721E-3</v>
      </c>
    </row>
    <row r="309" spans="1:5">
      <c r="A309" s="5">
        <v>45371</v>
      </c>
      <c r="B309" s="6" t="s">
        <v>418</v>
      </c>
      <c r="C309">
        <v>7737.39990234375</v>
      </c>
      <c r="D309">
        <v>-6.1956419530456138E-3</v>
      </c>
      <c r="E309">
        <v>-1.1629876022416936E-4</v>
      </c>
    </row>
    <row r="310" spans="1:5">
      <c r="A310" s="5">
        <v>45372</v>
      </c>
      <c r="B310" s="6" t="s">
        <v>419</v>
      </c>
      <c r="C310">
        <v>7882.60009765625</v>
      </c>
      <c r="D310">
        <v>1.1183219188495058E-2</v>
      </c>
      <c r="E310">
        <v>1.8592109841135133E-2</v>
      </c>
    </row>
    <row r="311" spans="1:5">
      <c r="A311" s="5">
        <v>45373</v>
      </c>
      <c r="B311">
        <v>337.5</v>
      </c>
      <c r="C311">
        <v>7930.89990234375</v>
      </c>
      <c r="D311">
        <v>-1.2367684533072073E-2</v>
      </c>
      <c r="E311">
        <v>6.1086988819062946E-3</v>
      </c>
    </row>
    <row r="312" spans="1:5">
      <c r="A312" s="5">
        <v>45376</v>
      </c>
      <c r="B312" s="6" t="s">
        <v>420</v>
      </c>
      <c r="C312">
        <v>7917.60009765625</v>
      </c>
      <c r="D312">
        <v>2.5451167689579352E-2</v>
      </c>
      <c r="E312">
        <v>-1.6783680234141575E-3</v>
      </c>
    </row>
    <row r="313" spans="1:5">
      <c r="A313" s="5">
        <v>45377</v>
      </c>
      <c r="B313" s="6" t="s">
        <v>346</v>
      </c>
      <c r="C313">
        <v>7931</v>
      </c>
      <c r="D313">
        <v>8.9727689139625574E-2</v>
      </c>
      <c r="E313">
        <v>1.6909891667661007E-3</v>
      </c>
    </row>
    <row r="314" spans="1:5">
      <c r="A314" s="5">
        <v>45378</v>
      </c>
      <c r="B314" s="6" t="s">
        <v>421</v>
      </c>
      <c r="C314">
        <v>7932</v>
      </c>
      <c r="D314">
        <v>-9.5516937822453414E-3</v>
      </c>
      <c r="E314">
        <v>1.2607955636689534E-4</v>
      </c>
    </row>
    <row r="315" spans="1:5">
      <c r="A315" s="5">
        <v>45379</v>
      </c>
      <c r="B315" s="6" t="s">
        <v>313</v>
      </c>
      <c r="C315">
        <v>7952.60009765625</v>
      </c>
      <c r="D315">
        <v>2.1886141332553937E-2</v>
      </c>
      <c r="E315">
        <v>2.5937208463971142E-3</v>
      </c>
    </row>
    <row r="316" spans="1:5">
      <c r="A316" s="5">
        <v>45384</v>
      </c>
      <c r="B316" s="6" t="s">
        <v>422</v>
      </c>
      <c r="C316">
        <v>7935.10009765625</v>
      </c>
      <c r="D316">
        <v>-7.2464092147198178E-2</v>
      </c>
      <c r="E316">
        <v>-2.2029629036580526E-3</v>
      </c>
    </row>
    <row r="317" spans="1:5">
      <c r="A317" s="5">
        <v>45385</v>
      </c>
      <c r="B317" s="6" t="s">
        <v>423</v>
      </c>
      <c r="C317">
        <v>7937.39990234375</v>
      </c>
      <c r="D317">
        <v>-6.7529627324990809E-3</v>
      </c>
      <c r="E317">
        <v>2.8978481065914091E-4</v>
      </c>
    </row>
    <row r="318" spans="1:5">
      <c r="A318" s="5">
        <v>45386</v>
      </c>
      <c r="B318" s="6" t="s">
        <v>424</v>
      </c>
      <c r="C318">
        <v>7975.89990234375</v>
      </c>
      <c r="D318">
        <v>1.2345818379032255E-2</v>
      </c>
      <c r="E318">
        <v>4.8387293132384377E-3</v>
      </c>
    </row>
    <row r="319" spans="1:5">
      <c r="A319" s="5">
        <v>45387</v>
      </c>
      <c r="B319">
        <v>354</v>
      </c>
      <c r="C319">
        <v>7911.2001953125</v>
      </c>
      <c r="D319">
        <v>-1.2910665057658375E-2</v>
      </c>
      <c r="E319">
        <v>-8.1449810624418858E-3</v>
      </c>
    </row>
    <row r="320" spans="1:5">
      <c r="A320" s="5">
        <v>45390</v>
      </c>
      <c r="B320" s="6" t="s">
        <v>287</v>
      </c>
      <c r="C320">
        <v>7943.5</v>
      </c>
      <c r="D320">
        <v>-1.022157149024721E-2</v>
      </c>
      <c r="E320">
        <v>4.0744825161970538E-3</v>
      </c>
    </row>
    <row r="321" spans="1:5">
      <c r="A321" s="5">
        <v>45391</v>
      </c>
      <c r="B321">
        <v>345</v>
      </c>
      <c r="C321">
        <v>7934.7998046875</v>
      </c>
      <c r="D321">
        <v>-1.5530924612167447E-2</v>
      </c>
      <c r="E321">
        <v>-1.0958599207970688E-3</v>
      </c>
    </row>
    <row r="322" spans="1:5">
      <c r="A322" s="5">
        <v>45392</v>
      </c>
      <c r="B322">
        <v>342</v>
      </c>
      <c r="C322">
        <v>7961.2001953125</v>
      </c>
      <c r="D322">
        <v>-8.7336799687545534E-3</v>
      </c>
      <c r="E322">
        <v>3.3216425388316959E-3</v>
      </c>
    </row>
    <row r="323" spans="1:5">
      <c r="A323" s="5">
        <v>45393</v>
      </c>
      <c r="B323">
        <v>342</v>
      </c>
      <c r="C323">
        <v>7923.7998046875</v>
      </c>
      <c r="D323">
        <v>0</v>
      </c>
      <c r="E323">
        <v>-4.7089027049328717E-3</v>
      </c>
    </row>
    <row r="324" spans="1:5">
      <c r="A324" s="5">
        <v>45394</v>
      </c>
      <c r="B324">
        <v>343</v>
      </c>
      <c r="C324">
        <v>7995.60009765625</v>
      </c>
      <c r="D324">
        <v>2.9197101033348462E-3</v>
      </c>
      <c r="E324">
        <v>9.0205384970605124E-3</v>
      </c>
    </row>
    <row r="325" spans="1:5">
      <c r="A325" s="5">
        <v>45397</v>
      </c>
      <c r="B325" s="6" t="s">
        <v>425</v>
      </c>
      <c r="C325">
        <v>7965.5</v>
      </c>
      <c r="D325">
        <v>5.829560161395292E-4</v>
      </c>
      <c r="E325">
        <v>-3.7716865572910234E-3</v>
      </c>
    </row>
    <row r="326" spans="1:5">
      <c r="A326" s="5">
        <v>45398</v>
      </c>
      <c r="B326" s="6" t="s">
        <v>426</v>
      </c>
      <c r="C326">
        <v>7820.39990234375</v>
      </c>
      <c r="D326">
        <v>-2.8970451172271518E-2</v>
      </c>
      <c r="E326">
        <v>-1.8384024373987423E-2</v>
      </c>
    </row>
    <row r="327" spans="1:5">
      <c r="A327" s="5">
        <v>45399</v>
      </c>
      <c r="B327" s="6" t="s">
        <v>427</v>
      </c>
      <c r="C327">
        <v>7848</v>
      </c>
      <c r="D327">
        <v>4.7446709230141028E-2</v>
      </c>
      <c r="E327">
        <v>3.5230306062368731E-3</v>
      </c>
    </row>
    <row r="328" spans="1:5">
      <c r="A328" s="5">
        <v>45400</v>
      </c>
      <c r="B328" s="6" t="s">
        <v>428</v>
      </c>
      <c r="C328">
        <v>7877.10009765625</v>
      </c>
      <c r="D328">
        <v>2.486000283092776E-2</v>
      </c>
      <c r="E328">
        <v>3.7011059635532113E-3</v>
      </c>
    </row>
    <row r="329" spans="1:5">
      <c r="A329" s="5">
        <v>45401</v>
      </c>
      <c r="B329" s="6" t="s">
        <v>429</v>
      </c>
      <c r="C329">
        <v>7895.89990234375</v>
      </c>
      <c r="D329">
        <v>-4.4742975775545306E-3</v>
      </c>
      <c r="E329">
        <v>2.3837968160744173E-3</v>
      </c>
    </row>
    <row r="330" spans="1:5">
      <c r="A330" s="5">
        <v>45404</v>
      </c>
      <c r="B330">
        <v>354</v>
      </c>
      <c r="C330">
        <v>8023.89990234375</v>
      </c>
      <c r="D330">
        <v>-7.8784533595477289E-3</v>
      </c>
      <c r="E330">
        <v>1.6080950756451017E-2</v>
      </c>
    </row>
    <row r="331" spans="1:5">
      <c r="A331" s="5">
        <v>45405</v>
      </c>
      <c r="B331" s="6" t="s">
        <v>430</v>
      </c>
      <c r="C331">
        <v>8044.7998046875</v>
      </c>
      <c r="D331">
        <v>1.1794610571650615E-2</v>
      </c>
      <c r="E331">
        <v>2.6013198964907561E-3</v>
      </c>
    </row>
    <row r="332" spans="1:5">
      <c r="A332" s="5">
        <v>45406</v>
      </c>
      <c r="B332" s="6" t="s">
        <v>431</v>
      </c>
      <c r="C332">
        <v>8040.39990234375</v>
      </c>
      <c r="D332">
        <v>-3.003911275516747E-2</v>
      </c>
      <c r="E332">
        <v>-5.4707464422266777E-4</v>
      </c>
    </row>
    <row r="333" spans="1:5">
      <c r="A333" s="5">
        <v>45407</v>
      </c>
      <c r="B333" s="6" t="s">
        <v>417</v>
      </c>
      <c r="C333">
        <v>8078.89990234375</v>
      </c>
      <c r="D333">
        <v>-1.2156480260661325E-2</v>
      </c>
      <c r="E333">
        <v>4.7768915122166147E-3</v>
      </c>
    </row>
    <row r="334" spans="1:5">
      <c r="A334" s="5">
        <v>45408</v>
      </c>
      <c r="B334">
        <v>344</v>
      </c>
      <c r="C334">
        <v>8139.7998046875</v>
      </c>
      <c r="D334">
        <v>1.7457266838020429E-3</v>
      </c>
      <c r="E334">
        <v>7.509873129651296E-3</v>
      </c>
    </row>
    <row r="335" spans="1:5">
      <c r="A335" s="5">
        <v>45411</v>
      </c>
      <c r="B335" s="6" t="s">
        <v>307</v>
      </c>
      <c r="C335">
        <v>8147</v>
      </c>
      <c r="D335">
        <v>-9.9328712249173983E-3</v>
      </c>
      <c r="E335">
        <v>8.8417563522822707E-4</v>
      </c>
    </row>
    <row r="336" spans="1:5">
      <c r="A336" s="5">
        <v>45412</v>
      </c>
      <c r="B336" s="6" t="s">
        <v>432</v>
      </c>
      <c r="C336">
        <v>8144.10009765625</v>
      </c>
      <c r="D336">
        <v>-1.8370923190074561E-2</v>
      </c>
      <c r="E336">
        <v>-3.5601062629226477E-4</v>
      </c>
    </row>
    <row r="337" spans="1:5">
      <c r="A337" s="5">
        <v>45413</v>
      </c>
      <c r="B337" s="6" t="s">
        <v>433</v>
      </c>
      <c r="C337">
        <v>8121.2001953125</v>
      </c>
      <c r="D337">
        <v>2.0130988435879248E-2</v>
      </c>
      <c r="E337">
        <v>-2.8158001465541779E-3</v>
      </c>
    </row>
    <row r="338" spans="1:5">
      <c r="A338" s="5">
        <v>45414</v>
      </c>
      <c r="B338" s="6" t="s">
        <v>427</v>
      </c>
      <c r="C338">
        <v>8172.2001953125</v>
      </c>
      <c r="D338">
        <v>2.432080984566343E-2</v>
      </c>
      <c r="E338">
        <v>6.2602238128814458E-3</v>
      </c>
    </row>
    <row r="339" spans="1:5">
      <c r="A339" s="5">
        <v>45415</v>
      </c>
      <c r="B339">
        <v>356</v>
      </c>
      <c r="C339">
        <v>8213.5</v>
      </c>
      <c r="D339">
        <v>1.8141069612081468E-2</v>
      </c>
      <c r="E339">
        <v>5.0409676305778672E-3</v>
      </c>
    </row>
    <row r="340" spans="1:5">
      <c r="A340" s="5">
        <v>45419</v>
      </c>
      <c r="B340" s="6" t="s">
        <v>429</v>
      </c>
      <c r="C340">
        <v>8313.7001953125</v>
      </c>
      <c r="D340">
        <v>2.2446356412917047E-3</v>
      </c>
      <c r="E340">
        <v>1.2125637958927321E-2</v>
      </c>
    </row>
    <row r="341" spans="1:5">
      <c r="A341" s="5">
        <v>45420</v>
      </c>
      <c r="B341" s="6" t="s">
        <v>434</v>
      </c>
      <c r="C341">
        <v>8354.099609375</v>
      </c>
      <c r="D341">
        <v>-3.3688456895805937E-3</v>
      </c>
      <c r="E341">
        <v>4.8476096004384153E-3</v>
      </c>
    </row>
    <row r="342" spans="1:5">
      <c r="A342" s="5">
        <v>45421</v>
      </c>
      <c r="B342">
        <v>350</v>
      </c>
      <c r="C342">
        <v>8381.400390625</v>
      </c>
      <c r="D342">
        <v>-1.5873366320282245E-2</v>
      </c>
      <c r="E342">
        <v>3.2626220271144732E-3</v>
      </c>
    </row>
    <row r="343" spans="1:5">
      <c r="A343" s="5">
        <v>45422</v>
      </c>
      <c r="B343" s="6" t="s">
        <v>435</v>
      </c>
      <c r="C343">
        <v>8433.7998046875</v>
      </c>
      <c r="D343">
        <v>3.4227420355632506E-3</v>
      </c>
      <c r="E343">
        <v>6.2324067588647716E-3</v>
      </c>
    </row>
    <row r="344" spans="1:5">
      <c r="A344" s="5">
        <v>45425</v>
      </c>
      <c r="B344" s="6" t="s">
        <v>436</v>
      </c>
      <c r="C344">
        <v>8415</v>
      </c>
      <c r="D344">
        <v>1.7069010856532614E-3</v>
      </c>
      <c r="E344">
        <v>-2.2315907016930226E-3</v>
      </c>
    </row>
    <row r="345" spans="1:5">
      <c r="A345" s="5">
        <v>45426</v>
      </c>
      <c r="B345">
        <v>357</v>
      </c>
      <c r="C345">
        <v>8428.099609375</v>
      </c>
      <c r="D345">
        <v>1.4672984174963056E-2</v>
      </c>
      <c r="E345">
        <v>1.555487092050634E-3</v>
      </c>
    </row>
    <row r="346" spans="1:5">
      <c r="A346" s="5">
        <v>45427</v>
      </c>
      <c r="B346" s="6" t="s">
        <v>390</v>
      </c>
      <c r="C346">
        <v>8445.7998046875</v>
      </c>
      <c r="D346">
        <v>2.4350920806345842E-2</v>
      </c>
      <c r="E346">
        <v>2.0979385227109714E-3</v>
      </c>
    </row>
    <row r="347" spans="1:5">
      <c r="A347" s="5">
        <v>45428</v>
      </c>
      <c r="B347" s="6" t="s">
        <v>400</v>
      </c>
      <c r="C347">
        <v>8438.7001953125</v>
      </c>
      <c r="D347">
        <v>1.7881826427250145E-2</v>
      </c>
      <c r="E347">
        <v>-8.4096180442579918E-4</v>
      </c>
    </row>
    <row r="348" spans="1:5">
      <c r="A348" s="5">
        <v>45429</v>
      </c>
      <c r="B348" s="6" t="s">
        <v>437</v>
      </c>
      <c r="C348">
        <v>8420.2998046875</v>
      </c>
      <c r="D348">
        <v>-5.9250958996860201E-3</v>
      </c>
      <c r="E348">
        <v>-2.1828575753347307E-3</v>
      </c>
    </row>
    <row r="349" spans="1:5">
      <c r="A349" s="5">
        <v>45432</v>
      </c>
      <c r="B349" s="6" t="s">
        <v>438</v>
      </c>
      <c r="C349">
        <v>8424.2001953125</v>
      </c>
      <c r="D349">
        <v>-4.874145300029423E-3</v>
      </c>
      <c r="E349">
        <v>4.631055471767521E-4</v>
      </c>
    </row>
    <row r="350" spans="1:5">
      <c r="A350" s="5">
        <v>45433</v>
      </c>
      <c r="B350">
        <v>371</v>
      </c>
      <c r="C350">
        <v>8416.5</v>
      </c>
      <c r="D350">
        <v>7.0327747939154641E-3</v>
      </c>
      <c r="E350">
        <v>-9.1447454794774282E-4</v>
      </c>
    </row>
    <row r="351" spans="1:5">
      <c r="A351" s="5">
        <v>45434</v>
      </c>
      <c r="B351" s="6" t="s">
        <v>439</v>
      </c>
      <c r="C351">
        <v>8370.2998046875</v>
      </c>
      <c r="D351">
        <v>-1.0295370617551088E-2</v>
      </c>
      <c r="E351">
        <v>-5.5043620580189486E-3</v>
      </c>
    </row>
    <row r="352" spans="1:5">
      <c r="A352" s="5">
        <v>45435</v>
      </c>
      <c r="B352" s="6" t="s">
        <v>440</v>
      </c>
      <c r="C352">
        <v>8339.2001953125</v>
      </c>
      <c r="D352">
        <v>5.4446417841489347E-4</v>
      </c>
      <c r="E352">
        <v>-3.7223908896348609E-3</v>
      </c>
    </row>
    <row r="353" spans="1:5">
      <c r="A353" s="5">
        <v>45436</v>
      </c>
      <c r="B353" s="6" t="s">
        <v>390</v>
      </c>
      <c r="C353">
        <v>8317.599609375</v>
      </c>
      <c r="D353">
        <v>-4.3644535823139088E-3</v>
      </c>
      <c r="E353">
        <v>-2.5936072113907243E-3</v>
      </c>
    </row>
    <row r="354" spans="1:5">
      <c r="A354" s="5">
        <v>45440</v>
      </c>
      <c r="B354" s="6" t="s">
        <v>293</v>
      </c>
      <c r="C354">
        <v>8254.2001953125</v>
      </c>
      <c r="D354">
        <v>1.2496783707865207E-2</v>
      </c>
      <c r="E354">
        <v>-7.6515193428910652E-3</v>
      </c>
    </row>
    <row r="355" spans="1:5">
      <c r="A355" s="5">
        <v>45441</v>
      </c>
      <c r="B355">
        <v>372</v>
      </c>
      <c r="C355">
        <v>8183.10009765625</v>
      </c>
      <c r="D355">
        <v>4.3103679792962186E-3</v>
      </c>
      <c r="E355">
        <v>-8.6511215135490638E-3</v>
      </c>
    </row>
    <row r="356" spans="1:5">
      <c r="A356" s="5">
        <v>45442</v>
      </c>
      <c r="B356" s="6" t="s">
        <v>441</v>
      </c>
      <c r="C356">
        <v>8231.099609375</v>
      </c>
      <c r="D356">
        <v>6.9649520302627445E-3</v>
      </c>
      <c r="E356">
        <v>5.848551790063973E-3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28384-9E8B-44C7-8044-0FDE74E1722A}">
  <sheetPr codeName="Sheet6"/>
  <dimension ref="A1:G63"/>
  <sheetViews>
    <sheetView zoomScale="70" zoomScaleNormal="70" workbookViewId="0">
      <selection activeCell="A4" sqref="A4:XFD6"/>
    </sheetView>
  </sheetViews>
  <sheetFormatPr defaultRowHeight="14.5"/>
  <cols>
    <col min="1" max="1" width="18.6328125" bestFit="1" customWidth="1"/>
    <col min="2" max="2" width="12.6328125" bestFit="1" customWidth="1"/>
    <col min="6" max="6" width="34.36328125" bestFit="1" customWidth="1"/>
    <col min="7" max="7" width="25.90625" bestFit="1" customWidth="1"/>
    <col min="8" max="10" width="15.90625" bestFit="1" customWidth="1"/>
  </cols>
  <sheetData>
    <row r="1" spans="1:7">
      <c r="A1" t="s">
        <v>203</v>
      </c>
      <c r="B1">
        <v>2021</v>
      </c>
      <c r="C1">
        <v>2022</v>
      </c>
      <c r="D1">
        <v>2023</v>
      </c>
      <c r="E1">
        <v>2024</v>
      </c>
      <c r="G1" t="s">
        <v>461</v>
      </c>
    </row>
    <row r="2" spans="1:7">
      <c r="A2" s="4"/>
      <c r="B2" s="4"/>
      <c r="C2" s="4"/>
      <c r="G2" s="4">
        <v>-0.66900000000000004</v>
      </c>
    </row>
    <row r="3" spans="1:7">
      <c r="A3" s="4"/>
      <c r="B3" s="4"/>
      <c r="C3" s="4"/>
    </row>
    <row r="4" spans="1:7">
      <c r="A4" t="s">
        <v>455</v>
      </c>
      <c r="B4" s="4">
        <v>3.8690000000000002E-2</v>
      </c>
    </row>
    <row r="5" spans="1:7">
      <c r="A5" t="s">
        <v>456</v>
      </c>
      <c r="B5" s="4">
        <v>8.652E-2</v>
      </c>
    </row>
    <row r="6" spans="1:7">
      <c r="A6" t="s">
        <v>457</v>
      </c>
      <c r="B6" s="4">
        <v>0.17730000000000001</v>
      </c>
    </row>
    <row r="8" spans="1:7">
      <c r="A8" t="s">
        <v>458</v>
      </c>
      <c r="B8">
        <v>-2.8000000000000001E-2</v>
      </c>
    </row>
    <row r="9" spans="1:7">
      <c r="A9" t="s">
        <v>459</v>
      </c>
      <c r="B9">
        <v>-6.2E-2</v>
      </c>
    </row>
    <row r="10" spans="1:7">
      <c r="A10" t="s">
        <v>460</v>
      </c>
      <c r="B10">
        <v>-0.127</v>
      </c>
    </row>
    <row r="19" spans="2:2">
      <c r="B19" s="4"/>
    </row>
    <row r="20" spans="2:2">
      <c r="B20" s="4"/>
    </row>
    <row r="32" spans="2:2">
      <c r="B32" s="4"/>
    </row>
    <row r="35" spans="2:2">
      <c r="B35" s="4"/>
    </row>
    <row r="42" spans="2:2">
      <c r="B42" s="4"/>
    </row>
    <row r="45" spans="2:2">
      <c r="B45" s="4"/>
    </row>
    <row r="63" spans="3:3">
      <c r="C63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DB8DF-3544-4131-91CE-F789F3C4E75D}">
  <sheetPr codeName="Sheet7"/>
  <dimension ref="A1:B14"/>
  <sheetViews>
    <sheetView tabSelected="1" workbookViewId="0">
      <selection sqref="A1:B14"/>
    </sheetView>
  </sheetViews>
  <sheetFormatPr defaultRowHeight="14.5"/>
  <cols>
    <col min="1" max="1" width="32.81640625" bestFit="1" customWidth="1"/>
    <col min="2" max="2" width="11.453125" customWidth="1"/>
  </cols>
  <sheetData>
    <row r="1" spans="1:2">
      <c r="A1" t="s">
        <v>445</v>
      </c>
    </row>
    <row r="3" spans="1:2">
      <c r="A3" t="s">
        <v>447</v>
      </c>
      <c r="B3" t="s">
        <v>448</v>
      </c>
    </row>
    <row r="4" spans="1:2">
      <c r="A4" t="s">
        <v>449</v>
      </c>
      <c r="B4">
        <v>27.84</v>
      </c>
    </row>
    <row r="5" spans="1:2">
      <c r="A5" t="s">
        <v>450</v>
      </c>
      <c r="B5">
        <v>33.700000000000003</v>
      </c>
    </row>
    <row r="6" spans="1:2">
      <c r="A6" t="s">
        <v>451</v>
      </c>
      <c r="B6">
        <v>5.64</v>
      </c>
    </row>
    <row r="8" spans="1:2">
      <c r="A8" t="s">
        <v>446</v>
      </c>
    </row>
    <row r="9" spans="1:2">
      <c r="A9" t="s">
        <v>452</v>
      </c>
      <c r="B9">
        <v>70</v>
      </c>
    </row>
    <row r="10" spans="1:2">
      <c r="A10" t="s">
        <v>453</v>
      </c>
      <c r="B10">
        <v>50</v>
      </c>
    </row>
    <row r="11" spans="1:2">
      <c r="A11" t="s">
        <v>462</v>
      </c>
      <c r="B11">
        <v>1</v>
      </c>
    </row>
    <row r="12" spans="1:2">
      <c r="A12" t="s">
        <v>463</v>
      </c>
      <c r="B12">
        <v>2</v>
      </c>
    </row>
    <row r="13" spans="1:2">
      <c r="A13" t="s">
        <v>464</v>
      </c>
      <c r="B13" s="4">
        <v>0.61419999999999997</v>
      </c>
    </row>
    <row r="14" spans="1:2">
      <c r="A14" t="s">
        <v>454</v>
      </c>
      <c r="B14">
        <v>4.4999999999999998E-2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1814E-7D74-41F1-9CB1-7490BD39B5AB}">
  <sheetPr codeName="Sheet10"/>
  <dimension ref="A1:E10"/>
  <sheetViews>
    <sheetView workbookViewId="0">
      <selection activeCell="K12" sqref="K12"/>
    </sheetView>
  </sheetViews>
  <sheetFormatPr defaultRowHeight="14.5"/>
  <sheetData>
    <row r="1" spans="1:5">
      <c r="A1" t="s">
        <v>465</v>
      </c>
      <c r="D1" t="s">
        <v>468</v>
      </c>
    </row>
    <row r="3" spans="1:5">
      <c r="A3" t="s">
        <v>466</v>
      </c>
      <c r="B3" t="s">
        <v>467</v>
      </c>
      <c r="D3" t="s">
        <v>466</v>
      </c>
      <c r="E3" t="s">
        <v>467</v>
      </c>
    </row>
    <row r="4" spans="1:5">
      <c r="A4" t="s">
        <v>37</v>
      </c>
      <c r="B4">
        <v>0.68298113258628423</v>
      </c>
      <c r="D4" t="s">
        <v>37</v>
      </c>
      <c r="E4">
        <v>-2.0110337053294167E-2</v>
      </c>
    </row>
    <row r="5" spans="1:5">
      <c r="A5" t="s">
        <v>260</v>
      </c>
      <c r="B5">
        <v>0.31701886741371577</v>
      </c>
      <c r="D5" t="s">
        <v>260</v>
      </c>
      <c r="E5">
        <v>1.0201103370532942</v>
      </c>
    </row>
    <row r="7" spans="1:5">
      <c r="D7" t="s">
        <v>469</v>
      </c>
      <c r="E7">
        <v>4.4999999999999998E-2</v>
      </c>
    </row>
    <row r="8" spans="1:5">
      <c r="D8" t="s">
        <v>470</v>
      </c>
      <c r="E8">
        <v>1.7468543594945096E-4</v>
      </c>
    </row>
    <row r="9" spans="1:5">
      <c r="D9" t="s">
        <v>471</v>
      </c>
      <c r="E9">
        <v>480.13915517027948</v>
      </c>
    </row>
    <row r="10" spans="1:5">
      <c r="D10" t="s">
        <v>472</v>
      </c>
      <c r="E10">
        <v>7686.4529681998238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Stock Financials</vt:lpstr>
      <vt:lpstr>Cash Flow Statement</vt:lpstr>
      <vt:lpstr>Balance Sheet</vt:lpstr>
      <vt:lpstr>Income Statement</vt:lpstr>
      <vt:lpstr>Playground</vt:lpstr>
      <vt:lpstr>FM</vt:lpstr>
      <vt:lpstr>Price</vt:lpstr>
      <vt:lpstr>Risk_Options</vt:lpstr>
      <vt:lpstr>Real_Options</vt:lpstr>
      <vt:lpstr>Portfolio_Optimization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Himal Himal (Student)</cp:lastModifiedBy>
  <cp:revision/>
  <dcterms:created xsi:type="dcterms:W3CDTF">2025-05-28T09:01:10Z</dcterms:created>
  <dcterms:modified xsi:type="dcterms:W3CDTF">2025-07-23T13:33:16Z</dcterms:modified>
  <cp:category/>
  <cp:contentStatus/>
</cp:coreProperties>
</file>